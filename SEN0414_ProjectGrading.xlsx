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yusuf.altunel\Documents\AcademyIKU\Courses\SEN0414 Advanced Programming\Project\Grading\"/>
    </mc:Choice>
  </mc:AlternateContent>
  <xr:revisionPtr revIDLastSave="0" documentId="13_ncr:1_{D4D24C91-0E7E-4B15-A5A5-7A75E943B2A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nstructions" sheetId="1" r:id="rId1"/>
    <sheet name="Team Grading" sheetId="2" r:id="rId2"/>
    <sheet name="Personal Grading" sheetId="3" r:id="rId3"/>
    <sheet name="Final Summary" sheetId="4" r:id="rId4"/>
    <sheet name="Rubric Referenc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4" l="1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J22" i="3"/>
  <c r="D22" i="4" s="1"/>
  <c r="I22" i="3"/>
  <c r="J21" i="3"/>
  <c r="D21" i="4" s="1"/>
  <c r="I21" i="3"/>
  <c r="J20" i="3"/>
  <c r="D20" i="4" s="1"/>
  <c r="I20" i="3"/>
  <c r="I19" i="3"/>
  <c r="J19" i="3" s="1"/>
  <c r="D19" i="4" s="1"/>
  <c r="J18" i="3"/>
  <c r="D18" i="4" s="1"/>
  <c r="I18" i="3"/>
  <c r="I17" i="3"/>
  <c r="J17" i="3" s="1"/>
  <c r="D17" i="4" s="1"/>
  <c r="I16" i="3"/>
  <c r="J16" i="3" s="1"/>
  <c r="D16" i="4" s="1"/>
  <c r="I15" i="3"/>
  <c r="J15" i="3" s="1"/>
  <c r="D15" i="4" s="1"/>
  <c r="J14" i="3"/>
  <c r="D14" i="4" s="1"/>
  <c r="I14" i="3"/>
  <c r="J13" i="3"/>
  <c r="D13" i="4" s="1"/>
  <c r="I13" i="3"/>
  <c r="J12" i="3"/>
  <c r="D12" i="4" s="1"/>
  <c r="I12" i="3"/>
  <c r="I11" i="3"/>
  <c r="J11" i="3" s="1"/>
  <c r="D11" i="4" s="1"/>
  <c r="J10" i="3"/>
  <c r="D10" i="4" s="1"/>
  <c r="I10" i="3"/>
  <c r="J9" i="3"/>
  <c r="D9" i="4" s="1"/>
  <c r="I9" i="3"/>
  <c r="I8" i="3"/>
  <c r="J8" i="3" s="1"/>
  <c r="D8" i="4" s="1"/>
  <c r="I7" i="3"/>
  <c r="J7" i="3" s="1"/>
  <c r="D7" i="4" s="1"/>
  <c r="J6" i="3"/>
  <c r="D6" i="4" s="1"/>
  <c r="I6" i="3"/>
  <c r="J5" i="3"/>
  <c r="D5" i="4" s="1"/>
  <c r="I5" i="3"/>
  <c r="T16" i="2"/>
  <c r="Q16" i="2"/>
  <c r="L16" i="2"/>
  <c r="K16" i="2"/>
  <c r="M16" i="2" s="1"/>
  <c r="R16" i="2" s="1"/>
  <c r="U16" i="2" s="1"/>
  <c r="T15" i="2"/>
  <c r="Q15" i="2"/>
  <c r="M15" i="2"/>
  <c r="R15" i="2" s="1"/>
  <c r="U15" i="2" s="1"/>
  <c r="L15" i="2"/>
  <c r="K15" i="2"/>
  <c r="T14" i="2"/>
  <c r="Q14" i="2"/>
  <c r="L14" i="2"/>
  <c r="K14" i="2"/>
  <c r="M14" i="2" s="1"/>
  <c r="R14" i="2" s="1"/>
  <c r="U14" i="2" s="1"/>
  <c r="T13" i="2"/>
  <c r="Q13" i="2"/>
  <c r="L13" i="2"/>
  <c r="K13" i="2"/>
  <c r="M13" i="2" s="1"/>
  <c r="R13" i="2" s="1"/>
  <c r="U13" i="2" s="1"/>
  <c r="T12" i="2"/>
  <c r="R12" i="2"/>
  <c r="Q12" i="2"/>
  <c r="M12" i="2"/>
  <c r="L12" i="2"/>
  <c r="K12" i="2"/>
  <c r="T11" i="2"/>
  <c r="Q11" i="2"/>
  <c r="M11" i="2"/>
  <c r="R11" i="2" s="1"/>
  <c r="U11" i="2" s="1"/>
  <c r="L11" i="2"/>
  <c r="K11" i="2"/>
  <c r="T10" i="2"/>
  <c r="Q10" i="2"/>
  <c r="L10" i="2"/>
  <c r="K10" i="2"/>
  <c r="M10" i="2" s="1"/>
  <c r="R10" i="2" s="1"/>
  <c r="U10" i="2" s="1"/>
  <c r="T9" i="2"/>
  <c r="Q9" i="2"/>
  <c r="L9" i="2"/>
  <c r="K9" i="2"/>
  <c r="M9" i="2" s="1"/>
  <c r="R9" i="2" s="1"/>
  <c r="U9" i="2" s="1"/>
  <c r="T8" i="2"/>
  <c r="R8" i="2"/>
  <c r="U8" i="2" s="1"/>
  <c r="C11" i="3" s="1"/>
  <c r="Q8" i="2"/>
  <c r="M8" i="2"/>
  <c r="L8" i="2"/>
  <c r="K8" i="2"/>
  <c r="T7" i="2"/>
  <c r="Q7" i="2"/>
  <c r="L7" i="2"/>
  <c r="M7" i="2" s="1"/>
  <c r="R7" i="2" s="1"/>
  <c r="U7" i="2" s="1"/>
  <c r="K7" i="2"/>
  <c r="T6" i="2"/>
  <c r="Q6" i="2"/>
  <c r="L6" i="2"/>
  <c r="K6" i="2"/>
  <c r="M6" i="2" s="1"/>
  <c r="R6" i="2" s="1"/>
  <c r="U6" i="2" s="1"/>
  <c r="T5" i="2"/>
  <c r="Q5" i="2"/>
  <c r="L5" i="2"/>
  <c r="K5" i="2"/>
  <c r="M5" i="2" s="1"/>
  <c r="R5" i="2" s="1"/>
  <c r="U5" i="2" s="1"/>
  <c r="V13" i="2" l="1"/>
  <c r="C19" i="3"/>
  <c r="V10" i="2"/>
  <c r="C14" i="3"/>
  <c r="C15" i="3"/>
  <c r="V5" i="2"/>
  <c r="C5" i="3"/>
  <c r="V15" i="2"/>
  <c r="C21" i="3"/>
  <c r="V14" i="2"/>
  <c r="C20" i="3"/>
  <c r="V16" i="2"/>
  <c r="C22" i="3"/>
  <c r="V7" i="2"/>
  <c r="C7" i="3"/>
  <c r="C8" i="3"/>
  <c r="K11" i="3"/>
  <c r="C11" i="4"/>
  <c r="V9" i="2"/>
  <c r="C12" i="3"/>
  <c r="C13" i="3"/>
  <c r="V6" i="2"/>
  <c r="C6" i="3"/>
  <c r="V11" i="2"/>
  <c r="C17" i="3"/>
  <c r="C16" i="3"/>
  <c r="U12" i="2"/>
  <c r="V8" i="2"/>
  <c r="C10" i="3"/>
  <c r="C9" i="3"/>
  <c r="C6" i="4" l="1"/>
  <c r="K6" i="3"/>
  <c r="K7" i="3"/>
  <c r="C7" i="4"/>
  <c r="C5" i="4"/>
  <c r="K5" i="3"/>
  <c r="V12" i="2"/>
  <c r="C18" i="3"/>
  <c r="C8" i="4"/>
  <c r="K8" i="3"/>
  <c r="K10" i="3"/>
  <c r="C10" i="4"/>
  <c r="C13" i="4"/>
  <c r="K13" i="3"/>
  <c r="K22" i="3"/>
  <c r="C22" i="4"/>
  <c r="K15" i="3"/>
  <c r="C15" i="4"/>
  <c r="C9" i="4"/>
  <c r="K9" i="3"/>
  <c r="C12" i="4"/>
  <c r="K12" i="3"/>
  <c r="C14" i="4"/>
  <c r="K14" i="3"/>
  <c r="K19" i="3"/>
  <c r="C19" i="4"/>
  <c r="C20" i="4"/>
  <c r="K20" i="3"/>
  <c r="C16" i="4"/>
  <c r="K16" i="3"/>
  <c r="C17" i="4"/>
  <c r="K17" i="3"/>
  <c r="M11" i="3"/>
  <c r="G11" i="4" s="1"/>
  <c r="L11" i="3"/>
  <c r="F11" i="4" s="1"/>
  <c r="E11" i="4"/>
  <c r="C21" i="4"/>
  <c r="K21" i="3"/>
  <c r="E17" i="4" l="1"/>
  <c r="M17" i="3"/>
  <c r="G17" i="4" s="1"/>
  <c r="L17" i="3"/>
  <c r="F17" i="4" s="1"/>
  <c r="E13" i="4"/>
  <c r="M13" i="3"/>
  <c r="G13" i="4" s="1"/>
  <c r="L13" i="3"/>
  <c r="F13" i="4" s="1"/>
  <c r="M16" i="3"/>
  <c r="G16" i="4" s="1"/>
  <c r="L16" i="3"/>
  <c r="F16" i="4" s="1"/>
  <c r="E16" i="4"/>
  <c r="E21" i="4"/>
  <c r="M21" i="3"/>
  <c r="G21" i="4" s="1"/>
  <c r="L21" i="3"/>
  <c r="F21" i="4" s="1"/>
  <c r="C18" i="4"/>
  <c r="K18" i="3"/>
  <c r="M12" i="3"/>
  <c r="G12" i="4" s="1"/>
  <c r="L12" i="3"/>
  <c r="F12" i="4" s="1"/>
  <c r="E12" i="4"/>
  <c r="E5" i="4"/>
  <c r="M5" i="3"/>
  <c r="G5" i="4" s="1"/>
  <c r="L5" i="3"/>
  <c r="F5" i="4" s="1"/>
  <c r="M20" i="3"/>
  <c r="G20" i="4" s="1"/>
  <c r="L20" i="3"/>
  <c r="F20" i="4" s="1"/>
  <c r="E20" i="4"/>
  <c r="E9" i="4"/>
  <c r="L9" i="3"/>
  <c r="F9" i="4" s="1"/>
  <c r="M9" i="3"/>
  <c r="G9" i="4" s="1"/>
  <c r="E14" i="4"/>
  <c r="M14" i="3"/>
  <c r="G14" i="4" s="1"/>
  <c r="L14" i="3"/>
  <c r="F14" i="4" s="1"/>
  <c r="E10" i="4"/>
  <c r="M10" i="3"/>
  <c r="G10" i="4" s="1"/>
  <c r="L10" i="3"/>
  <c r="F10" i="4" s="1"/>
  <c r="E7" i="4"/>
  <c r="M7" i="3"/>
  <c r="G7" i="4" s="1"/>
  <c r="L7" i="3"/>
  <c r="F7" i="4" s="1"/>
  <c r="E22" i="4"/>
  <c r="M22" i="3"/>
  <c r="G22" i="4" s="1"/>
  <c r="L22" i="3"/>
  <c r="F22" i="4" s="1"/>
  <c r="M8" i="3"/>
  <c r="G8" i="4" s="1"/>
  <c r="L8" i="3"/>
  <c r="F8" i="4" s="1"/>
  <c r="E8" i="4"/>
  <c r="E6" i="4"/>
  <c r="M6" i="3"/>
  <c r="G6" i="4" s="1"/>
  <c r="L6" i="3"/>
  <c r="F6" i="4" s="1"/>
  <c r="E19" i="4"/>
  <c r="M19" i="3"/>
  <c r="G19" i="4" s="1"/>
  <c r="L19" i="3"/>
  <c r="F19" i="4" s="1"/>
  <c r="L15" i="3"/>
  <c r="F15" i="4" s="1"/>
  <c r="E15" i="4"/>
  <c r="M15" i="3"/>
  <c r="G15" i="4" s="1"/>
  <c r="E18" i="4" l="1"/>
  <c r="M18" i="3"/>
  <c r="G18" i="4" s="1"/>
  <c r="L18" i="3"/>
  <c r="F18" i="4" s="1"/>
  <c r="B35" i="4"/>
  <c r="B34" i="4"/>
  <c r="B33" i="4"/>
  <c r="B32" i="4"/>
  <c r="B39" i="4"/>
  <c r="B28" i="4"/>
  <c r="B38" i="4"/>
  <c r="B27" i="4"/>
  <c r="B29" i="4" s="1"/>
  <c r="B37" i="4"/>
</calcChain>
</file>

<file path=xl/sharedStrings.xml><?xml version="1.0" encoding="utf-8"?>
<sst xmlns="http://schemas.openxmlformats.org/spreadsheetml/2006/main" count="243" uniqueCount="226">
  <si>
    <t>SEN0414 GRADING SPREADSHEET - WITH FORMULAS</t>
  </si>
  <si>
    <t>HOW TO USE THIS SPREADSHEET:</t>
  </si>
  <si>
    <t>1. YELLOW CELLS = Input cells (you can edit these)</t>
  </si>
  <si>
    <t>2. BLUE CELLS = Formula cells (auto-calculated, do not edit)</t>
  </si>
  <si>
    <t>3. GREEN CELLS = Bonus points (optional theme integration)</t>
  </si>
  <si>
    <t>WORKFLOW:</t>
  </si>
  <si>
    <t xml:space="preserve">  Step 1: Go to 'Team Grading' sheet and adjust scores in YELLOW cells</t>
  </si>
  <si>
    <t xml:space="preserve">  Step 2: Go to 'Personal Grading' sheet and adjust individual scores</t>
  </si>
  <si>
    <t xml:space="preserve">  Step 3: View 'Final Summary' for automatic ranking</t>
  </si>
  <si>
    <t>RUBRIC (100 Base + 10 Bonus):</t>
  </si>
  <si>
    <t xml:space="preserve">  PRIMARY (60 points) - Python &amp; Project Quality:</t>
  </si>
  <si>
    <t xml:space="preserve">    • Technical Implementation: 0-20</t>
  </si>
  <si>
    <t xml:space="preserve">    • Python Code Quality: 0-20</t>
  </si>
  <si>
    <t xml:space="preserve">    • Real-World Applicability: 0-20</t>
  </si>
  <si>
    <t xml:space="preserve">  SUPPORTING (40 points) - Documentation:</t>
  </si>
  <si>
    <t xml:space="preserve">    • GitHub Repository: 0-8</t>
  </si>
  <si>
    <t xml:space="preserve">    • Report Quality: 0-12</t>
  </si>
  <si>
    <t xml:space="preserve">    • Testing: 0-8</t>
  </si>
  <si>
    <t xml:space="preserve">    • Demo: 0-12</t>
  </si>
  <si>
    <t xml:space="preserve">  BONUS (+10 max) - Theme Integration:</t>
  </si>
  <si>
    <t xml:space="preserve">    • AI4SE: 0-4</t>
  </si>
  <si>
    <t xml:space="preserve">    • Blockchain/W3: 0-3</t>
  </si>
  <si>
    <t xml:space="preserve">    • Gamification: 0-3</t>
  </si>
  <si>
    <t>SIMILARITY ADJUSTMENT:</t>
  </si>
  <si>
    <t xml:space="preserve">  • ≥85% originality = 1.0 (no penalty)</t>
  </si>
  <si>
    <t xml:space="preserve">  • 70-84% = 0.95 (5% penalty)</t>
  </si>
  <si>
    <t xml:space="preserve">  • 50-69% = 0.8 (20% penalty)</t>
  </si>
  <si>
    <t xml:space="preserve">  • &lt;50% = 0.5 (50% penalty)</t>
  </si>
  <si>
    <t>GRADE SCALE:</t>
  </si>
  <si>
    <t xml:space="preserve">  A: 90+  |  B+: 85-89  |  B: 80-84  |  B-: 75-79</t>
  </si>
  <si>
    <t xml:space="preserve">  C+: 70-74  |  C: 65-69  |  C-: 55-64  |  F: &lt;55</t>
  </si>
  <si>
    <t>COLOR LEGEND:</t>
  </si>
  <si>
    <t>Input (edit)</t>
  </si>
  <si>
    <t>Formula (auto)</t>
  </si>
  <si>
    <t>Bonus</t>
  </si>
  <si>
    <t>TEAM PROJECT GRADING - EDITABLE WITH FORMULAS</t>
  </si>
  <si>
    <t>Yellow = Input cells (edit these) | Blue = Formula cells (auto-calculated)</t>
  </si>
  <si>
    <t>Team</t>
  </si>
  <si>
    <t>Project</t>
  </si>
  <si>
    <t>Members</t>
  </si>
  <si>
    <t>Tech
(20)</t>
  </si>
  <si>
    <t>Python
(20)</t>
  </si>
  <si>
    <t>RealWorld
(20)</t>
  </si>
  <si>
    <t>GitHub
(8)</t>
  </si>
  <si>
    <t>Report
(12)</t>
  </si>
  <si>
    <t>Test
(8)</t>
  </si>
  <si>
    <t>Demo
(12)</t>
  </si>
  <si>
    <t>PRIMARY
(60)</t>
  </si>
  <si>
    <t>SUPPORT
(40)</t>
  </si>
  <si>
    <t>BASE
(100)</t>
  </si>
  <si>
    <t>AI4SE
(+4)</t>
  </si>
  <si>
    <t>Block
(+3)</t>
  </si>
  <si>
    <t>Gami
(+3)</t>
  </si>
  <si>
    <t>BONUS
(+10)</t>
  </si>
  <si>
    <t>RAW</t>
  </si>
  <si>
    <t>Sim%</t>
  </si>
  <si>
    <t>Factor</t>
  </si>
  <si>
    <t>FINAL</t>
  </si>
  <si>
    <t>Grade</t>
  </si>
  <si>
    <t>AI Code Review Agent</t>
  </si>
  <si>
    <t>Gümüştepe</t>
  </si>
  <si>
    <t>AI Test Generation</t>
  </si>
  <si>
    <t>Kılıç</t>
  </si>
  <si>
    <t>AI Risk Management</t>
  </si>
  <si>
    <t>Berker, Gökçe</t>
  </si>
  <si>
    <t>Blockchain AI Auditor</t>
  </si>
  <si>
    <t>Okutay, Sevük, Polat</t>
  </si>
  <si>
    <t>AI Python Learner</t>
  </si>
  <si>
    <t>Aka, Darendeli</t>
  </si>
  <si>
    <t>Sezer, Vardar</t>
  </si>
  <si>
    <t>AI Test Generator</t>
  </si>
  <si>
    <t>Ahmad, Mohtishum</t>
  </si>
  <si>
    <t>Başlar</t>
  </si>
  <si>
    <t>AI Code Review</t>
  </si>
  <si>
    <t>Yassın</t>
  </si>
  <si>
    <t>Multi-Agent Review</t>
  </si>
  <si>
    <t>Bahtiyar</t>
  </si>
  <si>
    <t>AI Task Assistant</t>
  </si>
  <si>
    <t>Mansour</t>
  </si>
  <si>
    <t>NEW</t>
  </si>
  <si>
    <t>AI Agent</t>
  </si>
  <si>
    <t>Işık</t>
  </si>
  <si>
    <t>INDIVIDUAL STUDENT GRADING - WITH FORMULAS</t>
  </si>
  <si>
    <t>Formula: FINAL = (Team Grade × 0.5) + (Personal Normalized × 0.5)</t>
  </si>
  <si>
    <t>Student</t>
  </si>
  <si>
    <t>Team Row</t>
  </si>
  <si>
    <t>Team
Final</t>
  </si>
  <si>
    <t>Demo
(20)</t>
  </si>
  <si>
    <t>Code
(20)</t>
  </si>
  <si>
    <t>Q&amp;A
(20)</t>
  </si>
  <si>
    <t>Part
(10)</t>
  </si>
  <si>
    <t>Peer
(10)</t>
  </si>
  <si>
    <t>Pers
(80)</t>
  </si>
  <si>
    <t>Pers
Norm</t>
  </si>
  <si>
    <t>Status</t>
  </si>
  <si>
    <t>Notes</t>
  </si>
  <si>
    <t>Hüseyin Gümüştepe</t>
  </si>
  <si>
    <t>Outstanding Python + AI</t>
  </si>
  <si>
    <t>Muhittin Efe Kılıç</t>
  </si>
  <si>
    <t>Excellent multi-LLM</t>
  </si>
  <si>
    <t>Muhammed Berker</t>
  </si>
  <si>
    <t>Strong AutoGen work</t>
  </si>
  <si>
    <t>Sude Gökçe</t>
  </si>
  <si>
    <t>Good contribution</t>
  </si>
  <si>
    <t>Can Okutay</t>
  </si>
  <si>
    <t>Lead dev, Gemini+Web3</t>
  </si>
  <si>
    <t>Faruk Sevük</t>
  </si>
  <si>
    <t>Support role</t>
  </si>
  <si>
    <t>Hamza Ali Polat</t>
  </si>
  <si>
    <t>Salim Aka</t>
  </si>
  <si>
    <t>Deployed application</t>
  </si>
  <si>
    <t>Berke Darendeli</t>
  </si>
  <si>
    <t>Team contribution</t>
  </si>
  <si>
    <t>Bilge Sezer</t>
  </si>
  <si>
    <t>AST expertise (advanced!)</t>
  </si>
  <si>
    <t>Azranur Vardar</t>
  </si>
  <si>
    <t>GUI development</t>
  </si>
  <si>
    <t>Muneeb Ahmad</t>
  </si>
  <si>
    <t>Working system</t>
  </si>
  <si>
    <t>Ali Mohtishum</t>
  </si>
  <si>
    <t>Team work</t>
  </si>
  <si>
    <t>Batuhan Başlar</t>
  </si>
  <si>
    <t>Similarity penalty applied</t>
  </si>
  <si>
    <t>Yusuf Yassın</t>
  </si>
  <si>
    <t>Solo project</t>
  </si>
  <si>
    <t>Sevval Bahtiyar</t>
  </si>
  <si>
    <t>Ahmad Mansour</t>
  </si>
  <si>
    <t>Basic Python, incomplete</t>
  </si>
  <si>
    <t>Harun Işık</t>
  </si>
  <si>
    <t>Template submission issue</t>
  </si>
  <si>
    <t>FINAL GRADE SUMMARY - AUTO-CALCULATED FROM OTHER SHEETS</t>
  </si>
  <si>
    <t>This sheet pulls data from Personal Grading. Edit scores there, results update here.</t>
  </si>
  <si>
    <t>#</t>
  </si>
  <si>
    <t>Team Final</t>
  </si>
  <si>
    <t>Personal</t>
  </si>
  <si>
    <t>STATISTICS (Auto-calculated)</t>
  </si>
  <si>
    <t>Total Students:</t>
  </si>
  <si>
    <t>Passing (≥55):</t>
  </si>
  <si>
    <t>Failing (&lt;55):</t>
  </si>
  <si>
    <t>Pass Rate:</t>
  </si>
  <si>
    <t>Grade Distribution:</t>
  </si>
  <si>
    <t>A:</t>
  </si>
  <si>
    <t>B+ to B-:</t>
  </si>
  <si>
    <t>C+ to C-:</t>
  </si>
  <si>
    <t>F:</t>
  </si>
  <si>
    <t>Average Score:</t>
  </si>
  <si>
    <t>Highest:</t>
  </si>
  <si>
    <t>Lowest:</t>
  </si>
  <si>
    <t>GRADING RUBRIC REFERENCE</t>
  </si>
  <si>
    <t>CATEGORY</t>
  </si>
  <si>
    <t>MAX</t>
  </si>
  <si>
    <t>CRITERIA</t>
  </si>
  <si>
    <t>NOTES</t>
  </si>
  <si>
    <t>PRIMARY (Python &amp; Project)</t>
  </si>
  <si>
    <t>60</t>
  </si>
  <si>
    <t>Core evaluation - Required</t>
  </si>
  <si>
    <t xml:space="preserve">  Technical Implementation</t>
  </si>
  <si>
    <t>20</t>
  </si>
  <si>
    <t>Architecture, core logic, functionality, error handling</t>
  </si>
  <si>
    <t>Does it work?</t>
  </si>
  <si>
    <t xml:space="preserve">  Python Code Quality</t>
  </si>
  <si>
    <t>PEP8, OOP, advanced features (ast, decorators, generators)</t>
  </si>
  <si>
    <t>How well written?</t>
  </si>
  <si>
    <t xml:space="preserve">  Real-World Applicability</t>
  </si>
  <si>
    <t>Solves real problem, meets audience needs, practical</t>
  </si>
  <si>
    <t>Is it useful?</t>
  </si>
  <si>
    <t>SUPPORTING (Documentation)</t>
  </si>
  <si>
    <t>40</t>
  </si>
  <si>
    <t>Presentation &amp; Process</t>
  </si>
  <si>
    <t xml:space="preserve">  GitHub Repository</t>
  </si>
  <si>
    <t>8</t>
  </si>
  <si>
    <t>Public access (3), commits (2), README (2), organization (1)</t>
  </si>
  <si>
    <t>Version control</t>
  </si>
  <si>
    <t xml:space="preserve">  Report Quality</t>
  </si>
  <si>
    <t>12</t>
  </si>
  <si>
    <t>Technical writing (4), completeness (4), diagrams (4)</t>
  </si>
  <si>
    <t>Documentation</t>
  </si>
  <si>
    <t xml:space="preserve">  Testing &amp; Validation</t>
  </si>
  <si>
    <t>Unit tests (3), coverage (2), test quality (3)</t>
  </si>
  <si>
    <t>Quality assurance</t>
  </si>
  <si>
    <t xml:space="preserve">  Demo &amp; Presentation</t>
  </si>
  <si>
    <t>Working demo (5), video (4), feature showcase (3)</t>
  </si>
  <si>
    <t>Demonstration</t>
  </si>
  <si>
    <t>BONUS (Theme Integration)</t>
  </si>
  <si>
    <t>+10</t>
  </si>
  <si>
    <t>Optional - Extra credit</t>
  </si>
  <si>
    <t xml:space="preserve">  AI4SE Integration</t>
  </si>
  <si>
    <t>+4</t>
  </si>
  <si>
    <t>LLM APIs, agents, AI-powered features</t>
  </si>
  <si>
    <t>Course theme</t>
  </si>
  <si>
    <t xml:space="preserve">  Blockchain/W3</t>
  </si>
  <si>
    <t>+3</t>
  </si>
  <si>
    <t>Smart contracts, Web3, decentralized tech</t>
  </si>
  <si>
    <t>Advised topic</t>
  </si>
  <si>
    <t xml:space="preserve">  Gamification</t>
  </si>
  <si>
    <t>Points, badges, leaderboards, progress tracking</t>
  </si>
  <si>
    <t>TOTAL POSSIBLE</t>
  </si>
  <si>
    <t>110</t>
  </si>
  <si>
    <t>100 Base + 10 Bonus</t>
  </si>
  <si>
    <t>GRADE SCALE</t>
  </si>
  <si>
    <t>Range</t>
  </si>
  <si>
    <t>Description</t>
  </si>
  <si>
    <t>A</t>
  </si>
  <si>
    <t>90-110</t>
  </si>
  <si>
    <t>Outstanding</t>
  </si>
  <si>
    <t>B+</t>
  </si>
  <si>
    <t>85-89</t>
  </si>
  <si>
    <t>Excellent</t>
  </si>
  <si>
    <t>B</t>
  </si>
  <si>
    <t>80-84</t>
  </si>
  <si>
    <t>Very Good</t>
  </si>
  <si>
    <t>B-</t>
  </si>
  <si>
    <t>75-79</t>
  </si>
  <si>
    <t>Good</t>
  </si>
  <si>
    <t>C+</t>
  </si>
  <si>
    <t>70-74</t>
  </si>
  <si>
    <t>Above Average</t>
  </si>
  <si>
    <t>C</t>
  </si>
  <si>
    <t>65-69</t>
  </si>
  <si>
    <t>Average</t>
  </si>
  <si>
    <t>C-</t>
  </si>
  <si>
    <t>55-64</t>
  </si>
  <si>
    <t>Below Average (Passing)</t>
  </si>
  <si>
    <t>F</t>
  </si>
  <si>
    <t>&lt;55</t>
  </si>
  <si>
    <t>Failing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</si>
</sst>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4"/>
      <color rgb="FF1F4E79"/>
      <name val="Calibri"/>
    </font>
    <font>
      <i/>
      <sz val="11"/>
      <color rgb="FF666666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D0"/>
      </patternFill>
    </fill>
    <fill>
      <patternFill patternType="solid">
        <fgColor rgb="FFE8F4FD"/>
      </patternFill>
    </fill>
    <fill>
      <patternFill patternType="solid">
        <fgColor rgb="FFD4EDDA"/>
      </patternFill>
    </fill>
    <fill>
      <patternFill patternType="solid">
        <fgColor rgb="FF1F4E79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/>
    <xf numFmtId="0" fontId="2" fillId="3" borderId="1" xfId="0" applyFont="1" applyFill="1" applyBorder="1"/>
    <xf numFmtId="0" fontId="2" fillId="0" borderId="1" xfId="0" applyFont="1" applyBorder="1"/>
    <xf numFmtId="0" fontId="2" fillId="4" borderId="1" xfId="0" applyFont="1" applyFill="1" applyBorder="1"/>
    <xf numFmtId="0" fontId="1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workbookViewId="0">
      <selection activeCell="A7" sqref="A7"/>
    </sheetView>
  </sheetViews>
  <sheetFormatPr defaultRowHeight="14.4" x14ac:dyDescent="0.3"/>
  <cols>
    <col min="1" max="1" width="60" customWidth="1"/>
    <col min="2" max="2" width="15" customWidth="1"/>
  </cols>
  <sheetData>
    <row r="1" spans="1:7" ht="23.4" x14ac:dyDescent="0.45">
      <c r="A1" s="18" t="s">
        <v>0</v>
      </c>
      <c r="B1" s="19"/>
      <c r="C1" s="19"/>
      <c r="D1" s="19"/>
      <c r="E1" s="19"/>
      <c r="F1" s="19"/>
      <c r="G1" s="19"/>
    </row>
    <row r="3" spans="1:7" x14ac:dyDescent="0.3">
      <c r="A3" s="1" t="s">
        <v>1</v>
      </c>
    </row>
    <row r="5" spans="1:7" x14ac:dyDescent="0.3">
      <c r="A5" t="s">
        <v>2</v>
      </c>
    </row>
    <row r="6" spans="1:7" x14ac:dyDescent="0.3">
      <c r="A6" t="s">
        <v>3</v>
      </c>
    </row>
    <row r="7" spans="1:7" x14ac:dyDescent="0.3">
      <c r="A7" t="s">
        <v>4</v>
      </c>
    </row>
    <row r="9" spans="1:7" x14ac:dyDescent="0.3">
      <c r="A9" s="1" t="s">
        <v>5</v>
      </c>
    </row>
    <row r="10" spans="1:7" x14ac:dyDescent="0.3">
      <c r="A10" t="s">
        <v>6</v>
      </c>
    </row>
    <row r="11" spans="1:7" x14ac:dyDescent="0.3">
      <c r="A11" t="s">
        <v>7</v>
      </c>
    </row>
    <row r="12" spans="1:7" x14ac:dyDescent="0.3">
      <c r="A12" t="s">
        <v>8</v>
      </c>
    </row>
    <row r="14" spans="1:7" x14ac:dyDescent="0.3">
      <c r="A14" s="1" t="s">
        <v>9</v>
      </c>
    </row>
    <row r="15" spans="1:7" x14ac:dyDescent="0.3">
      <c r="A15" t="s">
        <v>10</v>
      </c>
    </row>
    <row r="16" spans="1:7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  <row r="20" spans="1:1" x14ac:dyDescent="0.3">
      <c r="A20" t="s">
        <v>14</v>
      </c>
    </row>
    <row r="21" spans="1:1" x14ac:dyDescent="0.3">
      <c r="A21" t="s">
        <v>15</v>
      </c>
    </row>
    <row r="22" spans="1:1" x14ac:dyDescent="0.3">
      <c r="A22" t="s">
        <v>16</v>
      </c>
    </row>
    <row r="23" spans="1:1" x14ac:dyDescent="0.3">
      <c r="A23" t="s">
        <v>17</v>
      </c>
    </row>
    <row r="24" spans="1:1" x14ac:dyDescent="0.3">
      <c r="A24" t="s">
        <v>18</v>
      </c>
    </row>
    <row r="26" spans="1:1" x14ac:dyDescent="0.3">
      <c r="A26" t="s">
        <v>19</v>
      </c>
    </row>
    <row r="27" spans="1:1" x14ac:dyDescent="0.3">
      <c r="A27" t="s">
        <v>20</v>
      </c>
    </row>
    <row r="28" spans="1:1" x14ac:dyDescent="0.3">
      <c r="A28" t="s">
        <v>21</v>
      </c>
    </row>
    <row r="29" spans="1:1" x14ac:dyDescent="0.3">
      <c r="A29" t="s">
        <v>22</v>
      </c>
    </row>
    <row r="31" spans="1:1" x14ac:dyDescent="0.3">
      <c r="A31" s="1" t="s">
        <v>23</v>
      </c>
    </row>
    <row r="32" spans="1:1" x14ac:dyDescent="0.3">
      <c r="A32" t="s">
        <v>24</v>
      </c>
    </row>
    <row r="33" spans="1:2" x14ac:dyDescent="0.3">
      <c r="A33" t="s">
        <v>25</v>
      </c>
    </row>
    <row r="34" spans="1:2" x14ac:dyDescent="0.3">
      <c r="A34" t="s">
        <v>26</v>
      </c>
    </row>
    <row r="35" spans="1:2" x14ac:dyDescent="0.3">
      <c r="A35" t="s">
        <v>27</v>
      </c>
    </row>
    <row r="37" spans="1:2" x14ac:dyDescent="0.3">
      <c r="A37" s="1" t="s">
        <v>28</v>
      </c>
    </row>
    <row r="38" spans="1:2" x14ac:dyDescent="0.3">
      <c r="A38" t="s">
        <v>29</v>
      </c>
    </row>
    <row r="39" spans="1:2" x14ac:dyDescent="0.3">
      <c r="A39" t="s">
        <v>30</v>
      </c>
    </row>
    <row r="40" spans="1:2" x14ac:dyDescent="0.3">
      <c r="A40" s="1" t="s">
        <v>31</v>
      </c>
    </row>
    <row r="41" spans="1:2" x14ac:dyDescent="0.3">
      <c r="A41" t="s">
        <v>32</v>
      </c>
      <c r="B41" s="2"/>
    </row>
    <row r="42" spans="1:2" x14ac:dyDescent="0.3">
      <c r="A42" t="s">
        <v>33</v>
      </c>
      <c r="B42" s="3"/>
    </row>
    <row r="43" spans="1:2" x14ac:dyDescent="0.3">
      <c r="A43" t="s">
        <v>34</v>
      </c>
      <c r="B43" s="4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6"/>
  <sheetViews>
    <sheetView workbookViewId="0">
      <selection activeCell="O6" sqref="O6"/>
    </sheetView>
  </sheetViews>
  <sheetFormatPr defaultRowHeight="14.4" x14ac:dyDescent="0.3"/>
  <cols>
    <col min="1" max="1" width="6" customWidth="1"/>
    <col min="2" max="3" width="22" customWidth="1"/>
    <col min="4" max="4" width="6" customWidth="1"/>
    <col min="5" max="5" width="7" customWidth="1"/>
    <col min="6" max="6" width="8" customWidth="1"/>
    <col min="7" max="8" width="7" customWidth="1"/>
    <col min="9" max="10" width="6" customWidth="1"/>
    <col min="11" max="12" width="8" customWidth="1"/>
    <col min="13" max="13" width="7" customWidth="1"/>
    <col min="14" max="16" width="6" customWidth="1"/>
    <col min="17" max="17" width="7" customWidth="1"/>
    <col min="18" max="19" width="6" customWidth="1"/>
    <col min="20" max="21" width="7" customWidth="1"/>
    <col min="22" max="22" width="6" customWidth="1"/>
  </cols>
  <sheetData>
    <row r="1" spans="1:22" ht="18" x14ac:dyDescent="0.35">
      <c r="A1" s="20" t="s">
        <v>35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 spans="1:22" x14ac:dyDescent="0.3">
      <c r="A2" s="21" t="s">
        <v>36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4" spans="1:22" ht="43.2" x14ac:dyDescent="0.3">
      <c r="A4" s="5" t="s">
        <v>37</v>
      </c>
      <c r="B4" s="5" t="s">
        <v>38</v>
      </c>
      <c r="C4" s="5" t="s">
        <v>39</v>
      </c>
      <c r="D4" s="5" t="s">
        <v>40</v>
      </c>
      <c r="E4" s="5" t="s">
        <v>41</v>
      </c>
      <c r="F4" s="5" t="s">
        <v>42</v>
      </c>
      <c r="G4" s="5" t="s">
        <v>43</v>
      </c>
      <c r="H4" s="5" t="s">
        <v>44</v>
      </c>
      <c r="I4" s="5" t="s">
        <v>45</v>
      </c>
      <c r="J4" s="5" t="s">
        <v>46</v>
      </c>
      <c r="K4" s="5" t="s">
        <v>47</v>
      </c>
      <c r="L4" s="5" t="s">
        <v>48</v>
      </c>
      <c r="M4" s="5" t="s">
        <v>49</v>
      </c>
      <c r="N4" s="5" t="s">
        <v>50</v>
      </c>
      <c r="O4" s="5" t="s">
        <v>51</v>
      </c>
      <c r="P4" s="5" t="s">
        <v>52</v>
      </c>
      <c r="Q4" s="5" t="s">
        <v>53</v>
      </c>
      <c r="R4" s="5" t="s">
        <v>54</v>
      </c>
      <c r="S4" s="5" t="s">
        <v>55</v>
      </c>
      <c r="T4" s="5" t="s">
        <v>56</v>
      </c>
      <c r="U4" s="5" t="s">
        <v>57</v>
      </c>
      <c r="V4" s="5" t="s">
        <v>58</v>
      </c>
    </row>
    <row r="5" spans="1:22" x14ac:dyDescent="0.3">
      <c r="A5" s="6">
        <v>7</v>
      </c>
      <c r="B5" s="6" t="s">
        <v>59</v>
      </c>
      <c r="C5" s="6" t="s">
        <v>60</v>
      </c>
      <c r="D5" s="7">
        <v>18</v>
      </c>
      <c r="E5" s="7">
        <v>19</v>
      </c>
      <c r="F5" s="7">
        <v>18</v>
      </c>
      <c r="G5" s="7">
        <v>8</v>
      </c>
      <c r="H5" s="7">
        <v>15</v>
      </c>
      <c r="I5" s="7">
        <v>8</v>
      </c>
      <c r="J5" s="7">
        <v>12</v>
      </c>
      <c r="K5" s="8">
        <f t="shared" ref="K5:K16" si="0">D5+E5+F5</f>
        <v>55</v>
      </c>
      <c r="L5" s="8">
        <f t="shared" ref="L5:L16" si="1">G5+H5+I5+J5</f>
        <v>43</v>
      </c>
      <c r="M5" s="8">
        <f t="shared" ref="M5:M16" si="2">K5+L5</f>
        <v>98</v>
      </c>
      <c r="N5" s="9">
        <v>4</v>
      </c>
      <c r="O5" s="9">
        <v>0</v>
      </c>
      <c r="P5" s="9">
        <v>0</v>
      </c>
      <c r="Q5" s="10">
        <f t="shared" ref="Q5:Q16" si="3">N5+O5+P5</f>
        <v>4</v>
      </c>
      <c r="R5" s="8">
        <f t="shared" ref="R5:R16" si="4">M5+Q5</f>
        <v>102</v>
      </c>
      <c r="S5" s="7">
        <v>95</v>
      </c>
      <c r="T5" s="11">
        <f t="shared" ref="T5:T16" si="5">IF(S5&gt;=85,1,IF(S5&gt;=70,0.95,IF(S5&gt;=50,0.8,0.5)))</f>
        <v>1</v>
      </c>
      <c r="U5" s="8">
        <f t="shared" ref="U5:U16" si="6">ROUND(R5*T5,0)</f>
        <v>102</v>
      </c>
      <c r="V5" s="8" t="str">
        <f t="shared" ref="V5:V16" si="7">IF(U5&gt;=90,"A",IF(U5&gt;=85,"B+",IF(U5&gt;=80,"B",IF(U5&gt;=75,"B-",IF(U5&gt;=70,"C+",IF(U5&gt;=65,"C",IF(U5&gt;=55,"C-","F")))))))</f>
        <v>A</v>
      </c>
    </row>
    <row r="6" spans="1:22" x14ac:dyDescent="0.3">
      <c r="A6" s="6">
        <v>4</v>
      </c>
      <c r="B6" s="6" t="s">
        <v>61</v>
      </c>
      <c r="C6" s="6" t="s">
        <v>62</v>
      </c>
      <c r="D6" s="7">
        <v>17</v>
      </c>
      <c r="E6" s="7">
        <v>18</v>
      </c>
      <c r="F6" s="7">
        <v>17</v>
      </c>
      <c r="G6" s="7">
        <v>7</v>
      </c>
      <c r="H6" s="7">
        <v>14</v>
      </c>
      <c r="I6" s="7">
        <v>6</v>
      </c>
      <c r="J6" s="7">
        <v>11</v>
      </c>
      <c r="K6" s="8">
        <f t="shared" si="0"/>
        <v>52</v>
      </c>
      <c r="L6" s="8">
        <f t="shared" si="1"/>
        <v>38</v>
      </c>
      <c r="M6" s="8">
        <f t="shared" si="2"/>
        <v>90</v>
      </c>
      <c r="N6" s="9">
        <v>4</v>
      </c>
      <c r="O6" s="9">
        <v>0</v>
      </c>
      <c r="P6" s="9">
        <v>0</v>
      </c>
      <c r="Q6" s="10">
        <f t="shared" si="3"/>
        <v>4</v>
      </c>
      <c r="R6" s="8">
        <f t="shared" si="4"/>
        <v>94</v>
      </c>
      <c r="S6" s="7">
        <v>92</v>
      </c>
      <c r="T6" s="11">
        <f t="shared" si="5"/>
        <v>1</v>
      </c>
      <c r="U6" s="8">
        <f t="shared" si="6"/>
        <v>94</v>
      </c>
      <c r="V6" s="8" t="str">
        <f t="shared" si="7"/>
        <v>A</v>
      </c>
    </row>
    <row r="7" spans="1:22" x14ac:dyDescent="0.3">
      <c r="A7" s="6">
        <v>11</v>
      </c>
      <c r="B7" s="6" t="s">
        <v>63</v>
      </c>
      <c r="C7" s="6" t="s">
        <v>64</v>
      </c>
      <c r="D7" s="7">
        <v>15</v>
      </c>
      <c r="E7" s="7">
        <v>16</v>
      </c>
      <c r="F7" s="7">
        <v>15</v>
      </c>
      <c r="G7" s="7">
        <v>6</v>
      </c>
      <c r="H7" s="7">
        <v>13</v>
      </c>
      <c r="I7" s="7">
        <v>7</v>
      </c>
      <c r="J7" s="7">
        <v>10</v>
      </c>
      <c r="K7" s="8">
        <f t="shared" si="0"/>
        <v>46</v>
      </c>
      <c r="L7" s="8">
        <f t="shared" si="1"/>
        <v>36</v>
      </c>
      <c r="M7" s="8">
        <f t="shared" si="2"/>
        <v>82</v>
      </c>
      <c r="N7" s="9">
        <v>4</v>
      </c>
      <c r="O7" s="9">
        <v>0</v>
      </c>
      <c r="P7" s="9">
        <v>0</v>
      </c>
      <c r="Q7" s="10">
        <f t="shared" si="3"/>
        <v>4</v>
      </c>
      <c r="R7" s="8">
        <f t="shared" si="4"/>
        <v>86</v>
      </c>
      <c r="S7" s="7">
        <v>90</v>
      </c>
      <c r="T7" s="11">
        <f t="shared" si="5"/>
        <v>1</v>
      </c>
      <c r="U7" s="8">
        <f t="shared" si="6"/>
        <v>86</v>
      </c>
      <c r="V7" s="8" t="str">
        <f t="shared" si="7"/>
        <v>B+</v>
      </c>
    </row>
    <row r="8" spans="1:22" x14ac:dyDescent="0.3">
      <c r="A8" s="6">
        <v>2</v>
      </c>
      <c r="B8" s="6" t="s">
        <v>65</v>
      </c>
      <c r="C8" s="6" t="s">
        <v>66</v>
      </c>
      <c r="D8" s="7">
        <v>16</v>
      </c>
      <c r="E8" s="7">
        <v>15</v>
      </c>
      <c r="F8" s="7">
        <v>14</v>
      </c>
      <c r="G8" s="7">
        <v>4</v>
      </c>
      <c r="H8" s="7">
        <v>11</v>
      </c>
      <c r="I8" s="7">
        <v>4</v>
      </c>
      <c r="J8" s="7">
        <v>10</v>
      </c>
      <c r="K8" s="8">
        <f t="shared" si="0"/>
        <v>45</v>
      </c>
      <c r="L8" s="8">
        <f t="shared" si="1"/>
        <v>29</v>
      </c>
      <c r="M8" s="8">
        <f t="shared" si="2"/>
        <v>74</v>
      </c>
      <c r="N8" s="9">
        <v>4</v>
      </c>
      <c r="O8" s="9">
        <v>3</v>
      </c>
      <c r="P8" s="9">
        <v>0</v>
      </c>
      <c r="Q8" s="10">
        <f t="shared" si="3"/>
        <v>7</v>
      </c>
      <c r="R8" s="8">
        <f t="shared" si="4"/>
        <v>81</v>
      </c>
      <c r="S8" s="7">
        <v>90</v>
      </c>
      <c r="T8" s="11">
        <f t="shared" si="5"/>
        <v>1</v>
      </c>
      <c r="U8" s="8">
        <f t="shared" si="6"/>
        <v>81</v>
      </c>
      <c r="V8" s="8" t="str">
        <f t="shared" si="7"/>
        <v>B</v>
      </c>
    </row>
    <row r="9" spans="1:22" x14ac:dyDescent="0.3">
      <c r="A9" s="6">
        <v>5</v>
      </c>
      <c r="B9" s="6" t="s">
        <v>67</v>
      </c>
      <c r="C9" s="6" t="s">
        <v>68</v>
      </c>
      <c r="D9" s="7">
        <v>14</v>
      </c>
      <c r="E9" s="7">
        <v>14</v>
      </c>
      <c r="F9" s="7">
        <v>16</v>
      </c>
      <c r="G9" s="7">
        <v>2</v>
      </c>
      <c r="H9" s="7">
        <v>12</v>
      </c>
      <c r="I9" s="7">
        <v>5</v>
      </c>
      <c r="J9" s="7">
        <v>12</v>
      </c>
      <c r="K9" s="8">
        <f t="shared" si="0"/>
        <v>44</v>
      </c>
      <c r="L9" s="8">
        <f t="shared" si="1"/>
        <v>31</v>
      </c>
      <c r="M9" s="8">
        <f t="shared" si="2"/>
        <v>75</v>
      </c>
      <c r="N9" s="9">
        <v>4</v>
      </c>
      <c r="O9" s="9">
        <v>0</v>
      </c>
      <c r="P9" s="9">
        <v>2</v>
      </c>
      <c r="Q9" s="10">
        <f t="shared" si="3"/>
        <v>6</v>
      </c>
      <c r="R9" s="8">
        <f t="shared" si="4"/>
        <v>81</v>
      </c>
      <c r="S9" s="7">
        <v>88</v>
      </c>
      <c r="T9" s="11">
        <f t="shared" si="5"/>
        <v>1</v>
      </c>
      <c r="U9" s="8">
        <f t="shared" si="6"/>
        <v>81</v>
      </c>
      <c r="V9" s="8" t="str">
        <f t="shared" si="7"/>
        <v>B</v>
      </c>
    </row>
    <row r="10" spans="1:22" x14ac:dyDescent="0.3">
      <c r="A10" s="6">
        <v>1</v>
      </c>
      <c r="B10" s="6" t="s">
        <v>61</v>
      </c>
      <c r="C10" s="6" t="s">
        <v>69</v>
      </c>
      <c r="D10" s="7">
        <v>14</v>
      </c>
      <c r="E10" s="7">
        <v>17</v>
      </c>
      <c r="F10" s="7">
        <v>14</v>
      </c>
      <c r="G10" s="7">
        <v>2</v>
      </c>
      <c r="H10" s="7">
        <v>10</v>
      </c>
      <c r="I10" s="7">
        <v>6</v>
      </c>
      <c r="J10" s="7">
        <v>10</v>
      </c>
      <c r="K10" s="8">
        <f t="shared" si="0"/>
        <v>45</v>
      </c>
      <c r="L10" s="8">
        <f t="shared" si="1"/>
        <v>28</v>
      </c>
      <c r="M10" s="8">
        <f t="shared" si="2"/>
        <v>73</v>
      </c>
      <c r="N10" s="9">
        <v>2</v>
      </c>
      <c r="O10" s="9">
        <v>0</v>
      </c>
      <c r="P10" s="9">
        <v>0</v>
      </c>
      <c r="Q10" s="10">
        <f t="shared" si="3"/>
        <v>2</v>
      </c>
      <c r="R10" s="8">
        <f t="shared" si="4"/>
        <v>75</v>
      </c>
      <c r="S10" s="7">
        <v>90</v>
      </c>
      <c r="T10" s="11">
        <f t="shared" si="5"/>
        <v>1</v>
      </c>
      <c r="U10" s="8">
        <f t="shared" si="6"/>
        <v>75</v>
      </c>
      <c r="V10" s="8" t="str">
        <f t="shared" si="7"/>
        <v>B-</v>
      </c>
    </row>
    <row r="11" spans="1:22" x14ac:dyDescent="0.3">
      <c r="A11" s="6">
        <v>3</v>
      </c>
      <c r="B11" s="6" t="s">
        <v>70</v>
      </c>
      <c r="C11" s="6" t="s">
        <v>71</v>
      </c>
      <c r="D11" s="7">
        <v>13</v>
      </c>
      <c r="E11" s="7">
        <v>13</v>
      </c>
      <c r="F11" s="7">
        <v>14</v>
      </c>
      <c r="G11" s="7">
        <v>5</v>
      </c>
      <c r="H11" s="7">
        <v>11</v>
      </c>
      <c r="I11" s="7">
        <v>4</v>
      </c>
      <c r="J11" s="7">
        <v>10</v>
      </c>
      <c r="K11" s="8">
        <f t="shared" si="0"/>
        <v>40</v>
      </c>
      <c r="L11" s="8">
        <f t="shared" si="1"/>
        <v>30</v>
      </c>
      <c r="M11" s="8">
        <f t="shared" si="2"/>
        <v>70</v>
      </c>
      <c r="N11" s="9">
        <v>3</v>
      </c>
      <c r="O11" s="9">
        <v>0</v>
      </c>
      <c r="P11" s="9">
        <v>0</v>
      </c>
      <c r="Q11" s="10">
        <f t="shared" si="3"/>
        <v>3</v>
      </c>
      <c r="R11" s="8">
        <f t="shared" si="4"/>
        <v>73</v>
      </c>
      <c r="S11" s="7">
        <v>90</v>
      </c>
      <c r="T11" s="11">
        <f t="shared" si="5"/>
        <v>1</v>
      </c>
      <c r="U11" s="8">
        <f t="shared" si="6"/>
        <v>73</v>
      </c>
      <c r="V11" s="8" t="str">
        <f t="shared" si="7"/>
        <v>C+</v>
      </c>
    </row>
    <row r="12" spans="1:22" x14ac:dyDescent="0.3">
      <c r="A12" s="6">
        <v>8</v>
      </c>
      <c r="B12" s="6" t="s">
        <v>59</v>
      </c>
      <c r="C12" s="6" t="s">
        <v>72</v>
      </c>
      <c r="D12" s="7">
        <v>16</v>
      </c>
      <c r="E12" s="7">
        <v>16</v>
      </c>
      <c r="F12" s="7">
        <v>15</v>
      </c>
      <c r="G12" s="7">
        <v>7</v>
      </c>
      <c r="H12" s="7">
        <v>13</v>
      </c>
      <c r="I12" s="7">
        <v>7</v>
      </c>
      <c r="J12" s="7">
        <v>11</v>
      </c>
      <c r="K12" s="8">
        <f t="shared" si="0"/>
        <v>47</v>
      </c>
      <c r="L12" s="8">
        <f t="shared" si="1"/>
        <v>38</v>
      </c>
      <c r="M12" s="8">
        <f t="shared" si="2"/>
        <v>85</v>
      </c>
      <c r="N12" s="9">
        <v>4</v>
      </c>
      <c r="O12" s="9">
        <v>0</v>
      </c>
      <c r="P12" s="9">
        <v>0</v>
      </c>
      <c r="Q12" s="10">
        <f t="shared" si="3"/>
        <v>4</v>
      </c>
      <c r="R12" s="8">
        <f t="shared" si="4"/>
        <v>89</v>
      </c>
      <c r="S12" s="7">
        <v>55</v>
      </c>
      <c r="T12" s="11">
        <f t="shared" si="5"/>
        <v>0.8</v>
      </c>
      <c r="U12" s="8">
        <f t="shared" si="6"/>
        <v>71</v>
      </c>
      <c r="V12" s="8" t="str">
        <f t="shared" si="7"/>
        <v>C+</v>
      </c>
    </row>
    <row r="13" spans="1:22" x14ac:dyDescent="0.3">
      <c r="A13" s="6">
        <v>9</v>
      </c>
      <c r="B13" s="6" t="s">
        <v>73</v>
      </c>
      <c r="C13" s="6" t="s">
        <v>74</v>
      </c>
      <c r="D13" s="7">
        <v>12</v>
      </c>
      <c r="E13" s="7">
        <v>12</v>
      </c>
      <c r="F13" s="7">
        <v>13</v>
      </c>
      <c r="G13" s="7">
        <v>2</v>
      </c>
      <c r="H13" s="7">
        <v>10</v>
      </c>
      <c r="I13" s="7">
        <v>3</v>
      </c>
      <c r="J13" s="7">
        <v>10</v>
      </c>
      <c r="K13" s="8">
        <f t="shared" si="0"/>
        <v>37</v>
      </c>
      <c r="L13" s="8">
        <f t="shared" si="1"/>
        <v>25</v>
      </c>
      <c r="M13" s="8">
        <f t="shared" si="2"/>
        <v>62</v>
      </c>
      <c r="N13" s="9">
        <v>3</v>
      </c>
      <c r="O13" s="9">
        <v>0</v>
      </c>
      <c r="P13" s="9">
        <v>0</v>
      </c>
      <c r="Q13" s="10">
        <f t="shared" si="3"/>
        <v>3</v>
      </c>
      <c r="R13" s="8">
        <f t="shared" si="4"/>
        <v>65</v>
      </c>
      <c r="S13" s="7">
        <v>85</v>
      </c>
      <c r="T13" s="11">
        <f t="shared" si="5"/>
        <v>1</v>
      </c>
      <c r="U13" s="8">
        <f t="shared" si="6"/>
        <v>65</v>
      </c>
      <c r="V13" s="8" t="str">
        <f t="shared" si="7"/>
        <v>C</v>
      </c>
    </row>
    <row r="14" spans="1:22" x14ac:dyDescent="0.3">
      <c r="A14" s="6">
        <v>10</v>
      </c>
      <c r="B14" s="6" t="s">
        <v>75</v>
      </c>
      <c r="C14" s="6" t="s">
        <v>76</v>
      </c>
      <c r="D14" s="7">
        <v>14</v>
      </c>
      <c r="E14" s="7">
        <v>14</v>
      </c>
      <c r="F14" s="7">
        <v>13</v>
      </c>
      <c r="G14" s="7">
        <v>6</v>
      </c>
      <c r="H14" s="7">
        <v>11</v>
      </c>
      <c r="I14" s="7">
        <v>5</v>
      </c>
      <c r="J14" s="7">
        <v>10</v>
      </c>
      <c r="K14" s="8">
        <f t="shared" si="0"/>
        <v>41</v>
      </c>
      <c r="L14" s="8">
        <f t="shared" si="1"/>
        <v>32</v>
      </c>
      <c r="M14" s="8">
        <f t="shared" si="2"/>
        <v>73</v>
      </c>
      <c r="N14" s="9">
        <v>4</v>
      </c>
      <c r="O14" s="9">
        <v>0</v>
      </c>
      <c r="P14" s="9">
        <v>0</v>
      </c>
      <c r="Q14" s="10">
        <f t="shared" si="3"/>
        <v>4</v>
      </c>
      <c r="R14" s="8">
        <f t="shared" si="4"/>
        <v>77</v>
      </c>
      <c r="S14" s="7">
        <v>55</v>
      </c>
      <c r="T14" s="11">
        <f t="shared" si="5"/>
        <v>0.8</v>
      </c>
      <c r="U14" s="8">
        <f t="shared" si="6"/>
        <v>62</v>
      </c>
      <c r="V14" s="8" t="str">
        <f t="shared" si="7"/>
        <v>C-</v>
      </c>
    </row>
    <row r="15" spans="1:22" x14ac:dyDescent="0.3">
      <c r="A15" s="6">
        <v>6</v>
      </c>
      <c r="B15" s="6" t="s">
        <v>77</v>
      </c>
      <c r="C15" s="6" t="s">
        <v>78</v>
      </c>
      <c r="D15" s="7">
        <v>10</v>
      </c>
      <c r="E15" s="7">
        <v>11</v>
      </c>
      <c r="F15" s="7">
        <v>10</v>
      </c>
      <c r="G15" s="7">
        <v>2</v>
      </c>
      <c r="H15" s="7">
        <v>6</v>
      </c>
      <c r="I15" s="7">
        <v>2</v>
      </c>
      <c r="J15" s="7">
        <v>8</v>
      </c>
      <c r="K15" s="8">
        <f t="shared" si="0"/>
        <v>31</v>
      </c>
      <c r="L15" s="8">
        <f t="shared" si="1"/>
        <v>18</v>
      </c>
      <c r="M15" s="8">
        <f t="shared" si="2"/>
        <v>49</v>
      </c>
      <c r="N15" s="9">
        <v>0</v>
      </c>
      <c r="O15" s="9">
        <v>0</v>
      </c>
      <c r="P15" s="9">
        <v>0</v>
      </c>
      <c r="Q15" s="10">
        <f t="shared" si="3"/>
        <v>0</v>
      </c>
      <c r="R15" s="8">
        <f t="shared" si="4"/>
        <v>49</v>
      </c>
      <c r="S15" s="7">
        <v>20</v>
      </c>
      <c r="T15" s="11">
        <f t="shared" si="5"/>
        <v>0.5</v>
      </c>
      <c r="U15" s="8">
        <f t="shared" si="6"/>
        <v>25</v>
      </c>
      <c r="V15" s="8" t="str">
        <f t="shared" si="7"/>
        <v>F</v>
      </c>
    </row>
    <row r="16" spans="1:22" x14ac:dyDescent="0.3">
      <c r="A16" s="6" t="s">
        <v>79</v>
      </c>
      <c r="B16" s="6" t="s">
        <v>80</v>
      </c>
      <c r="C16" s="6" t="s">
        <v>81</v>
      </c>
      <c r="D16" s="7">
        <v>10</v>
      </c>
      <c r="E16" s="7">
        <v>10</v>
      </c>
      <c r="F16" s="7">
        <v>8</v>
      </c>
      <c r="G16" s="7">
        <v>4</v>
      </c>
      <c r="H16" s="7">
        <v>4</v>
      </c>
      <c r="I16" s="7">
        <v>2</v>
      </c>
      <c r="J16" s="7">
        <v>8</v>
      </c>
      <c r="K16" s="8">
        <f t="shared" si="0"/>
        <v>28</v>
      </c>
      <c r="L16" s="8">
        <f t="shared" si="1"/>
        <v>18</v>
      </c>
      <c r="M16" s="8">
        <f t="shared" si="2"/>
        <v>46</v>
      </c>
      <c r="N16" s="9">
        <v>2</v>
      </c>
      <c r="O16" s="9">
        <v>0</v>
      </c>
      <c r="P16" s="9">
        <v>0</v>
      </c>
      <c r="Q16" s="10">
        <f t="shared" si="3"/>
        <v>2</v>
      </c>
      <c r="R16" s="8">
        <f t="shared" si="4"/>
        <v>48</v>
      </c>
      <c r="S16" s="7">
        <v>20</v>
      </c>
      <c r="T16" s="11">
        <f t="shared" si="5"/>
        <v>0.5</v>
      </c>
      <c r="U16" s="8">
        <f t="shared" si="6"/>
        <v>24</v>
      </c>
      <c r="V16" s="8" t="str">
        <f t="shared" si="7"/>
        <v>F</v>
      </c>
    </row>
  </sheetData>
  <mergeCells count="2">
    <mergeCell ref="A1:U1"/>
    <mergeCell ref="A2:U2"/>
  </mergeCells>
  <dataValidations count="6">
    <dataValidation type="whole" error="Score must be 0-20" sqref="D5:F16" xr:uid="{00000000-0002-0000-0100-000000000000}">
      <formula1>0</formula1>
      <formula2>20</formula2>
    </dataValidation>
    <dataValidation type="whole" error="Score must be 0-12" sqref="H5:H16 J5:J16" xr:uid="{00000000-0002-0000-0100-000001000000}">
      <formula1>0</formula1>
      <formula2>12</formula2>
    </dataValidation>
    <dataValidation type="whole" error="Score must be 0-8" sqref="G5:G16 I5:I16" xr:uid="{00000000-0002-0000-0100-000002000000}">
      <formula1>0</formula1>
      <formula2>8</formula2>
    </dataValidation>
    <dataValidation type="whole" error="Score must be 0-4" sqref="N5:N16" xr:uid="{00000000-0002-0000-0100-000003000000}">
      <formula1>0</formula1>
      <formula2>4</formula2>
    </dataValidation>
    <dataValidation type="whole" error="Score must be 0-3" sqref="O5:P16" xr:uid="{00000000-0002-0000-0100-000004000000}">
      <formula1>0</formula1>
      <formula2>3</formula2>
    </dataValidation>
    <dataValidation type="whole" error="Percentage must be 0-100" sqref="S5:S16" xr:uid="{00000000-0002-0000-0100-000005000000}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tabSelected="1" workbookViewId="0">
      <selection activeCell="D24" sqref="D24"/>
    </sheetView>
  </sheetViews>
  <sheetFormatPr defaultRowHeight="14.4" x14ac:dyDescent="0.3"/>
  <cols>
    <col min="1" max="1" width="20" customWidth="1"/>
    <col min="2" max="2" width="8" customWidth="1"/>
    <col min="3" max="3" width="7" customWidth="1"/>
    <col min="4" max="9" width="6" customWidth="1"/>
    <col min="10" max="13" width="7" customWidth="1"/>
    <col min="14" max="14" width="28" customWidth="1"/>
  </cols>
  <sheetData>
    <row r="1" spans="1:16" ht="18" x14ac:dyDescent="0.35">
      <c r="A1" s="20" t="s">
        <v>82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3">
      <c r="A2" s="21" t="s">
        <v>83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4" spans="1:16" ht="28.8" x14ac:dyDescent="0.3">
      <c r="A4" s="5" t="s">
        <v>84</v>
      </c>
      <c r="B4" s="5" t="s">
        <v>85</v>
      </c>
      <c r="C4" s="5" t="s">
        <v>86</v>
      </c>
      <c r="D4" s="5" t="s">
        <v>87</v>
      </c>
      <c r="E4" s="5" t="s">
        <v>88</v>
      </c>
      <c r="F4" s="5" t="s">
        <v>89</v>
      </c>
      <c r="G4" s="5" t="s">
        <v>90</v>
      </c>
      <c r="H4" s="5" t="s">
        <v>91</v>
      </c>
      <c r="I4" s="5" t="s">
        <v>92</v>
      </c>
      <c r="J4" s="5" t="s">
        <v>93</v>
      </c>
      <c r="K4" s="5" t="s">
        <v>57</v>
      </c>
      <c r="L4" s="5" t="s">
        <v>58</v>
      </c>
      <c r="M4" s="5" t="s">
        <v>94</v>
      </c>
      <c r="N4" s="5" t="s">
        <v>95</v>
      </c>
    </row>
    <row r="5" spans="1:16" x14ac:dyDescent="0.3">
      <c r="A5" s="6" t="s">
        <v>96</v>
      </c>
      <c r="B5" s="12">
        <v>5</v>
      </c>
      <c r="C5" s="8">
        <f>'Team Grading'!U5</f>
        <v>102</v>
      </c>
      <c r="D5" s="7">
        <v>20</v>
      </c>
      <c r="E5" s="7">
        <v>20</v>
      </c>
      <c r="F5" s="7">
        <v>18</v>
      </c>
      <c r="G5" s="7">
        <v>10</v>
      </c>
      <c r="H5" s="7">
        <v>10</v>
      </c>
      <c r="I5" s="11">
        <f t="shared" ref="I5:I22" si="0">D5+E5+F5+G5+H5</f>
        <v>78</v>
      </c>
      <c r="J5" s="11">
        <f t="shared" ref="J5:J22" si="1">ROUND((I5/80)*100,0)</f>
        <v>98</v>
      </c>
      <c r="K5" s="8">
        <f t="shared" ref="K5:K22" si="2">ROUND((C5*0.5)+(J5*0.5),0)</f>
        <v>100</v>
      </c>
      <c r="L5" s="8" t="str">
        <f t="shared" ref="L5:L22" si="3">IF(K5&gt;=90,"A",IF(K5&gt;=85,"B+",IF(K5&gt;=80,"B",IF(K5&gt;=75,"B-",IF(K5&gt;=70,"C+",IF(K5&gt;=65,"C",IF(K5&gt;=55,"C-","F")))))))</f>
        <v>A</v>
      </c>
      <c r="M5" s="11" t="str">
        <f t="shared" ref="M5:M22" si="4">IF(K5&gt;=55,"PASS","FAIL")</f>
        <v>PASS</v>
      </c>
      <c r="N5" s="13" t="s">
        <v>97</v>
      </c>
    </row>
    <row r="6" spans="1:16" x14ac:dyDescent="0.3">
      <c r="A6" s="6" t="s">
        <v>98</v>
      </c>
      <c r="B6" s="12">
        <v>6</v>
      </c>
      <c r="C6" s="8">
        <f>'Team Grading'!U6</f>
        <v>94</v>
      </c>
      <c r="D6" s="7">
        <v>18</v>
      </c>
      <c r="E6" s="7">
        <v>18</v>
      </c>
      <c r="F6" s="7">
        <v>17</v>
      </c>
      <c r="G6" s="7">
        <v>9</v>
      </c>
      <c r="H6" s="7">
        <v>9</v>
      </c>
      <c r="I6" s="11">
        <f t="shared" si="0"/>
        <v>71</v>
      </c>
      <c r="J6" s="11">
        <f t="shared" si="1"/>
        <v>89</v>
      </c>
      <c r="K6" s="8">
        <f t="shared" si="2"/>
        <v>92</v>
      </c>
      <c r="L6" s="8" t="str">
        <f t="shared" si="3"/>
        <v>A</v>
      </c>
      <c r="M6" s="11" t="str">
        <f t="shared" si="4"/>
        <v>PASS</v>
      </c>
      <c r="N6" s="13" t="s">
        <v>99</v>
      </c>
    </row>
    <row r="7" spans="1:16" x14ac:dyDescent="0.3">
      <c r="A7" s="6" t="s">
        <v>100</v>
      </c>
      <c r="B7" s="12">
        <v>7</v>
      </c>
      <c r="C7" s="8">
        <f>'Team Grading'!U7</f>
        <v>86</v>
      </c>
      <c r="D7" s="7">
        <v>17</v>
      </c>
      <c r="E7" s="7">
        <v>16</v>
      </c>
      <c r="F7" s="7">
        <v>15</v>
      </c>
      <c r="G7" s="7">
        <v>8</v>
      </c>
      <c r="H7" s="7">
        <v>9</v>
      </c>
      <c r="I7" s="11">
        <f t="shared" si="0"/>
        <v>65</v>
      </c>
      <c r="J7" s="11">
        <f t="shared" si="1"/>
        <v>81</v>
      </c>
      <c r="K7" s="8">
        <f t="shared" si="2"/>
        <v>84</v>
      </c>
      <c r="L7" s="8" t="str">
        <f t="shared" si="3"/>
        <v>B</v>
      </c>
      <c r="M7" s="11" t="str">
        <f t="shared" si="4"/>
        <v>PASS</v>
      </c>
      <c r="N7" s="13" t="s">
        <v>101</v>
      </c>
    </row>
    <row r="8" spans="1:16" x14ac:dyDescent="0.3">
      <c r="A8" s="6" t="s">
        <v>102</v>
      </c>
      <c r="B8" s="12">
        <v>7</v>
      </c>
      <c r="C8" s="8">
        <f>'Team Grading'!U7</f>
        <v>86</v>
      </c>
      <c r="D8" s="7">
        <v>15</v>
      </c>
      <c r="E8" s="7">
        <v>14</v>
      </c>
      <c r="F8" s="7">
        <v>14</v>
      </c>
      <c r="G8" s="7">
        <v>8</v>
      </c>
      <c r="H8" s="7">
        <v>8</v>
      </c>
      <c r="I8" s="11">
        <f t="shared" si="0"/>
        <v>59</v>
      </c>
      <c r="J8" s="11">
        <f t="shared" si="1"/>
        <v>74</v>
      </c>
      <c r="K8" s="8">
        <f t="shared" si="2"/>
        <v>80</v>
      </c>
      <c r="L8" s="8" t="str">
        <f t="shared" si="3"/>
        <v>B</v>
      </c>
      <c r="M8" s="11" t="str">
        <f t="shared" si="4"/>
        <v>PASS</v>
      </c>
      <c r="N8" s="13" t="s">
        <v>103</v>
      </c>
    </row>
    <row r="9" spans="1:16" x14ac:dyDescent="0.3">
      <c r="A9" s="6" t="s">
        <v>104</v>
      </c>
      <c r="B9" s="12">
        <v>8</v>
      </c>
      <c r="C9" s="8">
        <f>'Team Grading'!U8</f>
        <v>81</v>
      </c>
      <c r="D9" s="7">
        <v>17</v>
      </c>
      <c r="E9" s="7">
        <v>16</v>
      </c>
      <c r="F9" s="7">
        <v>15</v>
      </c>
      <c r="G9" s="7">
        <v>8</v>
      </c>
      <c r="H9" s="7">
        <v>8</v>
      </c>
      <c r="I9" s="11">
        <f t="shared" si="0"/>
        <v>64</v>
      </c>
      <c r="J9" s="11">
        <f t="shared" si="1"/>
        <v>80</v>
      </c>
      <c r="K9" s="8">
        <f t="shared" si="2"/>
        <v>81</v>
      </c>
      <c r="L9" s="8" t="str">
        <f t="shared" si="3"/>
        <v>B</v>
      </c>
      <c r="M9" s="11" t="str">
        <f t="shared" si="4"/>
        <v>PASS</v>
      </c>
      <c r="N9" s="13" t="s">
        <v>105</v>
      </c>
    </row>
    <row r="10" spans="1:16" x14ac:dyDescent="0.3">
      <c r="A10" s="6" t="s">
        <v>106</v>
      </c>
      <c r="B10" s="12">
        <v>8</v>
      </c>
      <c r="C10" s="8">
        <f>'Team Grading'!U8</f>
        <v>81</v>
      </c>
      <c r="D10" s="7">
        <v>14</v>
      </c>
      <c r="E10" s="7">
        <v>13</v>
      </c>
      <c r="F10" s="7">
        <v>13</v>
      </c>
      <c r="G10" s="7">
        <v>7</v>
      </c>
      <c r="H10" s="7">
        <v>7</v>
      </c>
      <c r="I10" s="11">
        <f t="shared" si="0"/>
        <v>54</v>
      </c>
      <c r="J10" s="11">
        <f t="shared" si="1"/>
        <v>68</v>
      </c>
      <c r="K10" s="8">
        <f t="shared" si="2"/>
        <v>75</v>
      </c>
      <c r="L10" s="8" t="str">
        <f t="shared" si="3"/>
        <v>B-</v>
      </c>
      <c r="M10" s="11" t="str">
        <f t="shared" si="4"/>
        <v>PASS</v>
      </c>
      <c r="N10" s="13" t="s">
        <v>107</v>
      </c>
    </row>
    <row r="11" spans="1:16" x14ac:dyDescent="0.3">
      <c r="A11" s="6" t="s">
        <v>108</v>
      </c>
      <c r="B11" s="12">
        <v>8</v>
      </c>
      <c r="C11" s="8">
        <f>'Team Grading'!U8</f>
        <v>81</v>
      </c>
      <c r="D11" s="7">
        <v>14</v>
      </c>
      <c r="E11" s="7">
        <v>13</v>
      </c>
      <c r="F11" s="7">
        <v>13</v>
      </c>
      <c r="G11" s="7">
        <v>7</v>
      </c>
      <c r="H11" s="7">
        <v>7</v>
      </c>
      <c r="I11" s="11">
        <f t="shared" si="0"/>
        <v>54</v>
      </c>
      <c r="J11" s="11">
        <f t="shared" si="1"/>
        <v>68</v>
      </c>
      <c r="K11" s="8">
        <f t="shared" si="2"/>
        <v>75</v>
      </c>
      <c r="L11" s="8" t="str">
        <f t="shared" si="3"/>
        <v>B-</v>
      </c>
      <c r="M11" s="11" t="str">
        <f t="shared" si="4"/>
        <v>PASS</v>
      </c>
      <c r="N11" s="13" t="s">
        <v>107</v>
      </c>
    </row>
    <row r="12" spans="1:16" x14ac:dyDescent="0.3">
      <c r="A12" s="6" t="s">
        <v>109</v>
      </c>
      <c r="B12" s="12">
        <v>9</v>
      </c>
      <c r="C12" s="8">
        <f>'Team Grading'!U9</f>
        <v>81</v>
      </c>
      <c r="D12" s="7">
        <v>17</v>
      </c>
      <c r="E12" s="7">
        <v>16</v>
      </c>
      <c r="F12" s="7">
        <v>15</v>
      </c>
      <c r="G12" s="7">
        <v>8</v>
      </c>
      <c r="H12" s="7">
        <v>9</v>
      </c>
      <c r="I12" s="11">
        <f t="shared" si="0"/>
        <v>65</v>
      </c>
      <c r="J12" s="11">
        <f t="shared" si="1"/>
        <v>81</v>
      </c>
      <c r="K12" s="8">
        <f t="shared" si="2"/>
        <v>81</v>
      </c>
      <c r="L12" s="8" t="str">
        <f t="shared" si="3"/>
        <v>B</v>
      </c>
      <c r="M12" s="11" t="str">
        <f t="shared" si="4"/>
        <v>PASS</v>
      </c>
      <c r="N12" s="13" t="s">
        <v>110</v>
      </c>
    </row>
    <row r="13" spans="1:16" x14ac:dyDescent="0.3">
      <c r="A13" s="6" t="s">
        <v>111</v>
      </c>
      <c r="B13" s="12">
        <v>9</v>
      </c>
      <c r="C13" s="8">
        <f>'Team Grading'!U9</f>
        <v>81</v>
      </c>
      <c r="D13" s="7">
        <v>16</v>
      </c>
      <c r="E13" s="7">
        <v>15</v>
      </c>
      <c r="F13" s="7">
        <v>14</v>
      </c>
      <c r="G13" s="7">
        <v>8</v>
      </c>
      <c r="H13" s="7">
        <v>8</v>
      </c>
      <c r="I13" s="11">
        <f t="shared" si="0"/>
        <v>61</v>
      </c>
      <c r="J13" s="11">
        <f t="shared" si="1"/>
        <v>76</v>
      </c>
      <c r="K13" s="8">
        <f t="shared" si="2"/>
        <v>79</v>
      </c>
      <c r="L13" s="8" t="str">
        <f t="shared" si="3"/>
        <v>B-</v>
      </c>
      <c r="M13" s="11" t="str">
        <f t="shared" si="4"/>
        <v>PASS</v>
      </c>
      <c r="N13" s="13" t="s">
        <v>112</v>
      </c>
    </row>
    <row r="14" spans="1:16" x14ac:dyDescent="0.3">
      <c r="A14" s="6" t="s">
        <v>113</v>
      </c>
      <c r="B14" s="12">
        <v>10</v>
      </c>
      <c r="C14" s="8">
        <f>'Team Grading'!U10</f>
        <v>75</v>
      </c>
      <c r="D14" s="7">
        <v>16</v>
      </c>
      <c r="E14" s="7">
        <v>17</v>
      </c>
      <c r="F14" s="7">
        <v>15</v>
      </c>
      <c r="G14" s="7">
        <v>8</v>
      </c>
      <c r="H14" s="7">
        <v>8</v>
      </c>
      <c r="I14" s="11">
        <f t="shared" si="0"/>
        <v>64</v>
      </c>
      <c r="J14" s="11">
        <f t="shared" si="1"/>
        <v>80</v>
      </c>
      <c r="K14" s="8">
        <f t="shared" si="2"/>
        <v>78</v>
      </c>
      <c r="L14" s="8" t="str">
        <f t="shared" si="3"/>
        <v>B-</v>
      </c>
      <c r="M14" s="11" t="str">
        <f t="shared" si="4"/>
        <v>PASS</v>
      </c>
      <c r="N14" s="13" t="s">
        <v>114</v>
      </c>
    </row>
    <row r="15" spans="1:16" x14ac:dyDescent="0.3">
      <c r="A15" s="6" t="s">
        <v>115</v>
      </c>
      <c r="B15" s="12">
        <v>10</v>
      </c>
      <c r="C15" s="8">
        <f>'Team Grading'!U10</f>
        <v>75</v>
      </c>
      <c r="D15" s="7">
        <v>14</v>
      </c>
      <c r="E15" s="7">
        <v>15</v>
      </c>
      <c r="F15" s="7">
        <v>13</v>
      </c>
      <c r="G15" s="7">
        <v>7</v>
      </c>
      <c r="H15" s="7">
        <v>8</v>
      </c>
      <c r="I15" s="11">
        <f t="shared" si="0"/>
        <v>57</v>
      </c>
      <c r="J15" s="11">
        <f t="shared" si="1"/>
        <v>71</v>
      </c>
      <c r="K15" s="8">
        <f t="shared" si="2"/>
        <v>73</v>
      </c>
      <c r="L15" s="8" t="str">
        <f t="shared" si="3"/>
        <v>C+</v>
      </c>
      <c r="M15" s="11" t="str">
        <f t="shared" si="4"/>
        <v>PASS</v>
      </c>
      <c r="N15" s="13" t="s">
        <v>116</v>
      </c>
    </row>
    <row r="16" spans="1:16" x14ac:dyDescent="0.3">
      <c r="A16" s="6" t="s">
        <v>117</v>
      </c>
      <c r="B16" s="12">
        <v>11</v>
      </c>
      <c r="C16" s="8">
        <f>'Team Grading'!U11</f>
        <v>73</v>
      </c>
      <c r="D16" s="7">
        <v>16</v>
      </c>
      <c r="E16" s="7">
        <v>15</v>
      </c>
      <c r="F16" s="7">
        <v>15</v>
      </c>
      <c r="G16" s="7">
        <v>8</v>
      </c>
      <c r="H16" s="7">
        <v>8</v>
      </c>
      <c r="I16" s="11">
        <f t="shared" si="0"/>
        <v>62</v>
      </c>
      <c r="J16" s="11">
        <f t="shared" si="1"/>
        <v>78</v>
      </c>
      <c r="K16" s="8">
        <f t="shared" si="2"/>
        <v>76</v>
      </c>
      <c r="L16" s="8" t="str">
        <f t="shared" si="3"/>
        <v>B-</v>
      </c>
      <c r="M16" s="11" t="str">
        <f t="shared" si="4"/>
        <v>PASS</v>
      </c>
      <c r="N16" s="13" t="s">
        <v>118</v>
      </c>
    </row>
    <row r="17" spans="1:14" x14ac:dyDescent="0.3">
      <c r="A17" s="6" t="s">
        <v>119</v>
      </c>
      <c r="B17" s="12">
        <v>11</v>
      </c>
      <c r="C17" s="8">
        <f>'Team Grading'!U11</f>
        <v>73</v>
      </c>
      <c r="D17" s="7">
        <v>15</v>
      </c>
      <c r="E17" s="7">
        <v>14</v>
      </c>
      <c r="F17" s="7">
        <v>14</v>
      </c>
      <c r="G17" s="7">
        <v>8</v>
      </c>
      <c r="H17" s="7">
        <v>8</v>
      </c>
      <c r="I17" s="11">
        <f t="shared" si="0"/>
        <v>59</v>
      </c>
      <c r="J17" s="11">
        <f t="shared" si="1"/>
        <v>74</v>
      </c>
      <c r="K17" s="8">
        <f t="shared" si="2"/>
        <v>74</v>
      </c>
      <c r="L17" s="8" t="str">
        <f t="shared" si="3"/>
        <v>C+</v>
      </c>
      <c r="M17" s="11" t="str">
        <f t="shared" si="4"/>
        <v>PASS</v>
      </c>
      <c r="N17" s="13" t="s">
        <v>120</v>
      </c>
    </row>
    <row r="18" spans="1:14" x14ac:dyDescent="0.3">
      <c r="A18" s="6" t="s">
        <v>121</v>
      </c>
      <c r="B18" s="12">
        <v>12</v>
      </c>
      <c r="C18" s="8">
        <f>'Team Grading'!U12</f>
        <v>71</v>
      </c>
      <c r="D18" s="7">
        <v>15</v>
      </c>
      <c r="E18" s="7">
        <v>15</v>
      </c>
      <c r="F18" s="7">
        <v>14</v>
      </c>
      <c r="G18" s="7">
        <v>8</v>
      </c>
      <c r="H18" s="7">
        <v>8</v>
      </c>
      <c r="I18" s="11">
        <f t="shared" si="0"/>
        <v>60</v>
      </c>
      <c r="J18" s="11">
        <f t="shared" si="1"/>
        <v>75</v>
      </c>
      <c r="K18" s="8">
        <f t="shared" si="2"/>
        <v>73</v>
      </c>
      <c r="L18" s="8" t="str">
        <f t="shared" si="3"/>
        <v>C+</v>
      </c>
      <c r="M18" s="11" t="str">
        <f t="shared" si="4"/>
        <v>PASS</v>
      </c>
      <c r="N18" s="13" t="s">
        <v>122</v>
      </c>
    </row>
    <row r="19" spans="1:14" x14ac:dyDescent="0.3">
      <c r="A19" s="6" t="s">
        <v>123</v>
      </c>
      <c r="B19" s="12">
        <v>13</v>
      </c>
      <c r="C19" s="8">
        <f>'Team Grading'!U13</f>
        <v>65</v>
      </c>
      <c r="D19" s="7">
        <v>14</v>
      </c>
      <c r="E19" s="7">
        <v>14</v>
      </c>
      <c r="F19" s="7">
        <v>13</v>
      </c>
      <c r="G19" s="7">
        <v>7</v>
      </c>
      <c r="H19" s="7">
        <v>8</v>
      </c>
      <c r="I19" s="11">
        <f t="shared" si="0"/>
        <v>56</v>
      </c>
      <c r="J19" s="11">
        <f t="shared" si="1"/>
        <v>70</v>
      </c>
      <c r="K19" s="8">
        <f t="shared" si="2"/>
        <v>68</v>
      </c>
      <c r="L19" s="8" t="str">
        <f t="shared" si="3"/>
        <v>C</v>
      </c>
      <c r="M19" s="11" t="str">
        <f t="shared" si="4"/>
        <v>PASS</v>
      </c>
      <c r="N19" s="13" t="s">
        <v>124</v>
      </c>
    </row>
    <row r="20" spans="1:14" x14ac:dyDescent="0.3">
      <c r="A20" s="6" t="s">
        <v>125</v>
      </c>
      <c r="B20" s="12">
        <v>14</v>
      </c>
      <c r="C20" s="8">
        <f>'Team Grading'!U14</f>
        <v>62</v>
      </c>
      <c r="D20" s="7">
        <v>14</v>
      </c>
      <c r="E20" s="7">
        <v>13</v>
      </c>
      <c r="F20" s="7">
        <v>13</v>
      </c>
      <c r="G20" s="7">
        <v>7</v>
      </c>
      <c r="H20" s="7">
        <v>7</v>
      </c>
      <c r="I20" s="11">
        <f t="shared" si="0"/>
        <v>54</v>
      </c>
      <c r="J20" s="11">
        <f t="shared" si="1"/>
        <v>68</v>
      </c>
      <c r="K20" s="8">
        <f t="shared" si="2"/>
        <v>65</v>
      </c>
      <c r="L20" s="8" t="str">
        <f t="shared" si="3"/>
        <v>C</v>
      </c>
      <c r="M20" s="11" t="str">
        <f t="shared" si="4"/>
        <v>PASS</v>
      </c>
      <c r="N20" s="13" t="s">
        <v>122</v>
      </c>
    </row>
    <row r="21" spans="1:14" x14ac:dyDescent="0.3">
      <c r="A21" s="6" t="s">
        <v>126</v>
      </c>
      <c r="B21" s="12">
        <v>15</v>
      </c>
      <c r="C21" s="8">
        <f>'Team Grading'!U15</f>
        <v>25</v>
      </c>
      <c r="D21" s="7">
        <v>10</v>
      </c>
      <c r="E21" s="7">
        <v>10</v>
      </c>
      <c r="F21" s="7">
        <v>8</v>
      </c>
      <c r="G21" s="7">
        <v>6</v>
      </c>
      <c r="H21" s="7">
        <v>6</v>
      </c>
      <c r="I21" s="11">
        <f t="shared" si="0"/>
        <v>40</v>
      </c>
      <c r="J21" s="11">
        <f t="shared" si="1"/>
        <v>50</v>
      </c>
      <c r="K21" s="8">
        <f t="shared" si="2"/>
        <v>38</v>
      </c>
      <c r="L21" s="8" t="str">
        <f t="shared" si="3"/>
        <v>F</v>
      </c>
      <c r="M21" s="11" t="str">
        <f t="shared" si="4"/>
        <v>FAIL</v>
      </c>
      <c r="N21" s="13" t="s">
        <v>127</v>
      </c>
    </row>
    <row r="22" spans="1:14" x14ac:dyDescent="0.3">
      <c r="A22" s="6" t="s">
        <v>128</v>
      </c>
      <c r="B22" s="12">
        <v>16</v>
      </c>
      <c r="C22" s="8">
        <f>'Team Grading'!U16</f>
        <v>24</v>
      </c>
      <c r="D22" s="7">
        <v>10</v>
      </c>
      <c r="E22" s="7">
        <v>9</v>
      </c>
      <c r="F22" s="7">
        <v>8</v>
      </c>
      <c r="G22" s="7">
        <v>5</v>
      </c>
      <c r="H22" s="7">
        <v>5</v>
      </c>
      <c r="I22" s="11">
        <f t="shared" si="0"/>
        <v>37</v>
      </c>
      <c r="J22" s="11">
        <f t="shared" si="1"/>
        <v>46</v>
      </c>
      <c r="K22" s="8">
        <f t="shared" si="2"/>
        <v>35</v>
      </c>
      <c r="L22" s="8" t="str">
        <f t="shared" si="3"/>
        <v>F</v>
      </c>
      <c r="M22" s="11" t="str">
        <f t="shared" si="4"/>
        <v>FAIL</v>
      </c>
      <c r="N22" s="13" t="s">
        <v>129</v>
      </c>
    </row>
  </sheetData>
  <mergeCells count="2">
    <mergeCell ref="A1:P1"/>
    <mergeCell ref="A2:P2"/>
  </mergeCells>
  <dataValidations count="2">
    <dataValidation type="whole" sqref="D5:F22" xr:uid="{00000000-0002-0000-0200-000000000000}">
      <formula1>0</formula1>
      <formula2>20</formula2>
    </dataValidation>
    <dataValidation type="whole" sqref="G5:H22" xr:uid="{00000000-0002-0000-0200-000001000000}">
      <formula1>0</formula1>
      <formula2>10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workbookViewId="0">
      <selection activeCell="G5" sqref="G5"/>
    </sheetView>
  </sheetViews>
  <sheetFormatPr defaultRowHeight="14.4" x14ac:dyDescent="0.3"/>
  <cols>
    <col min="1" max="1" width="15" customWidth="1"/>
    <col min="2" max="2" width="22" customWidth="1"/>
    <col min="3" max="4" width="10" customWidth="1"/>
    <col min="5" max="7" width="8" customWidth="1"/>
  </cols>
  <sheetData>
    <row r="1" spans="1:9" ht="18" x14ac:dyDescent="0.35">
      <c r="A1" s="20" t="s">
        <v>130</v>
      </c>
      <c r="B1" s="19"/>
      <c r="C1" s="19"/>
      <c r="D1" s="19"/>
      <c r="E1" s="19"/>
      <c r="F1" s="19"/>
      <c r="G1" s="19"/>
      <c r="H1" s="19"/>
      <c r="I1" s="19"/>
    </row>
    <row r="2" spans="1:9" x14ac:dyDescent="0.3">
      <c r="A2" s="21" t="s">
        <v>131</v>
      </c>
      <c r="B2" s="19"/>
      <c r="C2" s="19"/>
      <c r="D2" s="19"/>
      <c r="E2" s="19"/>
      <c r="F2" s="19"/>
      <c r="G2" s="19"/>
      <c r="H2" s="19"/>
      <c r="I2" s="19"/>
    </row>
    <row r="4" spans="1:9" x14ac:dyDescent="0.3">
      <c r="A4" s="5" t="s">
        <v>132</v>
      </c>
      <c r="B4" s="5" t="s">
        <v>84</v>
      </c>
      <c r="C4" s="5" t="s">
        <v>133</v>
      </c>
      <c r="D4" s="5" t="s">
        <v>134</v>
      </c>
      <c r="E4" s="5" t="s">
        <v>57</v>
      </c>
      <c r="F4" s="5" t="s">
        <v>58</v>
      </c>
      <c r="G4" s="5" t="s">
        <v>94</v>
      </c>
    </row>
    <row r="5" spans="1:9" x14ac:dyDescent="0.3">
      <c r="A5" s="6">
        <v>1</v>
      </c>
      <c r="B5" s="14" t="str">
        <f>'Personal Grading'!A5</f>
        <v>Hüseyin Gümüştepe</v>
      </c>
      <c r="C5" s="11">
        <f>'Personal Grading'!C5</f>
        <v>102</v>
      </c>
      <c r="D5" s="11">
        <f>'Personal Grading'!J5</f>
        <v>98</v>
      </c>
      <c r="E5" s="8">
        <f>'Personal Grading'!K5</f>
        <v>100</v>
      </c>
      <c r="F5" s="8" t="str">
        <f>'Personal Grading'!L5</f>
        <v>A</v>
      </c>
      <c r="G5" s="11" t="str">
        <f>'Personal Grading'!M5</f>
        <v>PASS</v>
      </c>
    </row>
    <row r="6" spans="1:9" x14ac:dyDescent="0.3">
      <c r="A6" s="6">
        <v>2</v>
      </c>
      <c r="B6" s="14" t="str">
        <f>'Personal Grading'!A6</f>
        <v>Muhittin Efe Kılıç</v>
      </c>
      <c r="C6" s="11">
        <f>'Personal Grading'!C6</f>
        <v>94</v>
      </c>
      <c r="D6" s="11">
        <f>'Personal Grading'!J6</f>
        <v>89</v>
      </c>
      <c r="E6" s="8">
        <f>'Personal Grading'!K6</f>
        <v>92</v>
      </c>
      <c r="F6" s="8" t="str">
        <f>'Personal Grading'!L6</f>
        <v>A</v>
      </c>
      <c r="G6" s="11" t="str">
        <f>'Personal Grading'!M6</f>
        <v>PASS</v>
      </c>
    </row>
    <row r="7" spans="1:9" x14ac:dyDescent="0.3">
      <c r="A7" s="6">
        <v>3</v>
      </c>
      <c r="B7" s="14" t="str">
        <f>'Personal Grading'!A7</f>
        <v>Muhammed Berker</v>
      </c>
      <c r="C7" s="11">
        <f>'Personal Grading'!C7</f>
        <v>86</v>
      </c>
      <c r="D7" s="11">
        <f>'Personal Grading'!J7</f>
        <v>81</v>
      </c>
      <c r="E7" s="8">
        <f>'Personal Grading'!K7</f>
        <v>84</v>
      </c>
      <c r="F7" s="8" t="str">
        <f>'Personal Grading'!L7</f>
        <v>B</v>
      </c>
      <c r="G7" s="11" t="str">
        <f>'Personal Grading'!M7</f>
        <v>PASS</v>
      </c>
    </row>
    <row r="8" spans="1:9" x14ac:dyDescent="0.3">
      <c r="A8" s="6">
        <v>4</v>
      </c>
      <c r="B8" s="14" t="str">
        <f>'Personal Grading'!A8</f>
        <v>Sude Gökçe</v>
      </c>
      <c r="C8" s="11">
        <f>'Personal Grading'!C8</f>
        <v>86</v>
      </c>
      <c r="D8" s="11">
        <f>'Personal Grading'!J8</f>
        <v>74</v>
      </c>
      <c r="E8" s="8">
        <f>'Personal Grading'!K8</f>
        <v>80</v>
      </c>
      <c r="F8" s="8" t="str">
        <f>'Personal Grading'!L8</f>
        <v>B</v>
      </c>
      <c r="G8" s="11" t="str">
        <f>'Personal Grading'!M8</f>
        <v>PASS</v>
      </c>
    </row>
    <row r="9" spans="1:9" x14ac:dyDescent="0.3">
      <c r="A9" s="6">
        <v>5</v>
      </c>
      <c r="B9" s="14" t="str">
        <f>'Personal Grading'!A9</f>
        <v>Can Okutay</v>
      </c>
      <c r="C9" s="11">
        <f>'Personal Grading'!C9</f>
        <v>81</v>
      </c>
      <c r="D9" s="11">
        <f>'Personal Grading'!J9</f>
        <v>80</v>
      </c>
      <c r="E9" s="8">
        <f>'Personal Grading'!K9</f>
        <v>81</v>
      </c>
      <c r="F9" s="8" t="str">
        <f>'Personal Grading'!L9</f>
        <v>B</v>
      </c>
      <c r="G9" s="11" t="str">
        <f>'Personal Grading'!M9</f>
        <v>PASS</v>
      </c>
    </row>
    <row r="10" spans="1:9" x14ac:dyDescent="0.3">
      <c r="A10" s="6">
        <v>6</v>
      </c>
      <c r="B10" s="14" t="str">
        <f>'Personal Grading'!A10</f>
        <v>Faruk Sevük</v>
      </c>
      <c r="C10" s="11">
        <f>'Personal Grading'!C10</f>
        <v>81</v>
      </c>
      <c r="D10" s="11">
        <f>'Personal Grading'!J10</f>
        <v>68</v>
      </c>
      <c r="E10" s="8">
        <f>'Personal Grading'!K10</f>
        <v>75</v>
      </c>
      <c r="F10" s="8" t="str">
        <f>'Personal Grading'!L10</f>
        <v>B-</v>
      </c>
      <c r="G10" s="11" t="str">
        <f>'Personal Grading'!M10</f>
        <v>PASS</v>
      </c>
    </row>
    <row r="11" spans="1:9" x14ac:dyDescent="0.3">
      <c r="A11" s="6">
        <v>7</v>
      </c>
      <c r="B11" s="14" t="str">
        <f>'Personal Grading'!A11</f>
        <v>Hamza Ali Polat</v>
      </c>
      <c r="C11" s="11">
        <f>'Personal Grading'!C11</f>
        <v>81</v>
      </c>
      <c r="D11" s="11">
        <f>'Personal Grading'!J11</f>
        <v>68</v>
      </c>
      <c r="E11" s="8">
        <f>'Personal Grading'!K11</f>
        <v>75</v>
      </c>
      <c r="F11" s="8" t="str">
        <f>'Personal Grading'!L11</f>
        <v>B-</v>
      </c>
      <c r="G11" s="11" t="str">
        <f>'Personal Grading'!M11</f>
        <v>PASS</v>
      </c>
    </row>
    <row r="12" spans="1:9" x14ac:dyDescent="0.3">
      <c r="A12" s="6">
        <v>8</v>
      </c>
      <c r="B12" s="14" t="str">
        <f>'Personal Grading'!A12</f>
        <v>Salim Aka</v>
      </c>
      <c r="C12" s="11">
        <f>'Personal Grading'!C12</f>
        <v>81</v>
      </c>
      <c r="D12" s="11">
        <f>'Personal Grading'!J12</f>
        <v>81</v>
      </c>
      <c r="E12" s="8">
        <f>'Personal Grading'!K12</f>
        <v>81</v>
      </c>
      <c r="F12" s="8" t="str">
        <f>'Personal Grading'!L12</f>
        <v>B</v>
      </c>
      <c r="G12" s="11" t="str">
        <f>'Personal Grading'!M12</f>
        <v>PASS</v>
      </c>
    </row>
    <row r="13" spans="1:9" x14ac:dyDescent="0.3">
      <c r="A13" s="6">
        <v>9</v>
      </c>
      <c r="B13" s="14" t="str">
        <f>'Personal Grading'!A13</f>
        <v>Berke Darendeli</v>
      </c>
      <c r="C13" s="11">
        <f>'Personal Grading'!C13</f>
        <v>81</v>
      </c>
      <c r="D13" s="11">
        <f>'Personal Grading'!J13</f>
        <v>76</v>
      </c>
      <c r="E13" s="8">
        <f>'Personal Grading'!K13</f>
        <v>79</v>
      </c>
      <c r="F13" s="8" t="str">
        <f>'Personal Grading'!L13</f>
        <v>B-</v>
      </c>
      <c r="G13" s="11" t="str">
        <f>'Personal Grading'!M13</f>
        <v>PASS</v>
      </c>
    </row>
    <row r="14" spans="1:9" x14ac:dyDescent="0.3">
      <c r="A14" s="6">
        <v>10</v>
      </c>
      <c r="B14" s="14" t="str">
        <f>'Personal Grading'!A14</f>
        <v>Bilge Sezer</v>
      </c>
      <c r="C14" s="11">
        <f>'Personal Grading'!C14</f>
        <v>75</v>
      </c>
      <c r="D14" s="11">
        <f>'Personal Grading'!J14</f>
        <v>80</v>
      </c>
      <c r="E14" s="8">
        <f>'Personal Grading'!K14</f>
        <v>78</v>
      </c>
      <c r="F14" s="8" t="str">
        <f>'Personal Grading'!L14</f>
        <v>B-</v>
      </c>
      <c r="G14" s="11" t="str">
        <f>'Personal Grading'!M14</f>
        <v>PASS</v>
      </c>
    </row>
    <row r="15" spans="1:9" x14ac:dyDescent="0.3">
      <c r="A15" s="6">
        <v>11</v>
      </c>
      <c r="B15" s="14" t="str">
        <f>'Personal Grading'!A15</f>
        <v>Azranur Vardar</v>
      </c>
      <c r="C15" s="11">
        <f>'Personal Grading'!C15</f>
        <v>75</v>
      </c>
      <c r="D15" s="11">
        <f>'Personal Grading'!J15</f>
        <v>71</v>
      </c>
      <c r="E15" s="8">
        <f>'Personal Grading'!K15</f>
        <v>73</v>
      </c>
      <c r="F15" s="8" t="str">
        <f>'Personal Grading'!L15</f>
        <v>C+</v>
      </c>
      <c r="G15" s="11" t="str">
        <f>'Personal Grading'!M15</f>
        <v>PASS</v>
      </c>
    </row>
    <row r="16" spans="1:9" x14ac:dyDescent="0.3">
      <c r="A16" s="6">
        <v>12</v>
      </c>
      <c r="B16" s="14" t="str">
        <f>'Personal Grading'!A16</f>
        <v>Muneeb Ahmad</v>
      </c>
      <c r="C16" s="11">
        <f>'Personal Grading'!C16</f>
        <v>73</v>
      </c>
      <c r="D16" s="11">
        <f>'Personal Grading'!J16</f>
        <v>78</v>
      </c>
      <c r="E16" s="8">
        <f>'Personal Grading'!K16</f>
        <v>76</v>
      </c>
      <c r="F16" s="8" t="str">
        <f>'Personal Grading'!L16</f>
        <v>B-</v>
      </c>
      <c r="G16" s="11" t="str">
        <f>'Personal Grading'!M16</f>
        <v>PASS</v>
      </c>
    </row>
    <row r="17" spans="1:7" x14ac:dyDescent="0.3">
      <c r="A17" s="6">
        <v>13</v>
      </c>
      <c r="B17" s="14" t="str">
        <f>'Personal Grading'!A17</f>
        <v>Ali Mohtishum</v>
      </c>
      <c r="C17" s="11">
        <f>'Personal Grading'!C17</f>
        <v>73</v>
      </c>
      <c r="D17" s="11">
        <f>'Personal Grading'!J17</f>
        <v>74</v>
      </c>
      <c r="E17" s="8">
        <f>'Personal Grading'!K17</f>
        <v>74</v>
      </c>
      <c r="F17" s="8" t="str">
        <f>'Personal Grading'!L17</f>
        <v>C+</v>
      </c>
      <c r="G17" s="11" t="str">
        <f>'Personal Grading'!M17</f>
        <v>PASS</v>
      </c>
    </row>
    <row r="18" spans="1:7" x14ac:dyDescent="0.3">
      <c r="A18" s="6">
        <v>14</v>
      </c>
      <c r="B18" s="14" t="str">
        <f>'Personal Grading'!A18</f>
        <v>Batuhan Başlar</v>
      </c>
      <c r="C18" s="11">
        <f>'Personal Grading'!C18</f>
        <v>71</v>
      </c>
      <c r="D18" s="11">
        <f>'Personal Grading'!J18</f>
        <v>75</v>
      </c>
      <c r="E18" s="8">
        <f>'Personal Grading'!K18</f>
        <v>73</v>
      </c>
      <c r="F18" s="8" t="str">
        <f>'Personal Grading'!L18</f>
        <v>C+</v>
      </c>
      <c r="G18" s="11" t="str">
        <f>'Personal Grading'!M18</f>
        <v>PASS</v>
      </c>
    </row>
    <row r="19" spans="1:7" x14ac:dyDescent="0.3">
      <c r="A19" s="6">
        <v>15</v>
      </c>
      <c r="B19" s="14" t="str">
        <f>'Personal Grading'!A19</f>
        <v>Yusuf Yassın</v>
      </c>
      <c r="C19" s="11">
        <f>'Personal Grading'!C19</f>
        <v>65</v>
      </c>
      <c r="D19" s="11">
        <f>'Personal Grading'!J19</f>
        <v>70</v>
      </c>
      <c r="E19" s="8">
        <f>'Personal Grading'!K19</f>
        <v>68</v>
      </c>
      <c r="F19" s="8" t="str">
        <f>'Personal Grading'!L19</f>
        <v>C</v>
      </c>
      <c r="G19" s="11" t="str">
        <f>'Personal Grading'!M19</f>
        <v>PASS</v>
      </c>
    </row>
    <row r="20" spans="1:7" x14ac:dyDescent="0.3">
      <c r="A20" s="6">
        <v>16</v>
      </c>
      <c r="B20" s="14" t="str">
        <f>'Personal Grading'!A20</f>
        <v>Sevval Bahtiyar</v>
      </c>
      <c r="C20" s="11">
        <f>'Personal Grading'!C20</f>
        <v>62</v>
      </c>
      <c r="D20" s="11">
        <f>'Personal Grading'!J20</f>
        <v>68</v>
      </c>
      <c r="E20" s="8">
        <f>'Personal Grading'!K20</f>
        <v>65</v>
      </c>
      <c r="F20" s="8" t="str">
        <f>'Personal Grading'!L20</f>
        <v>C</v>
      </c>
      <c r="G20" s="11" t="str">
        <f>'Personal Grading'!M20</f>
        <v>PASS</v>
      </c>
    </row>
    <row r="21" spans="1:7" x14ac:dyDescent="0.3">
      <c r="A21" s="6">
        <v>17</v>
      </c>
      <c r="B21" s="14" t="str">
        <f>'Personal Grading'!A21</f>
        <v>Ahmad Mansour</v>
      </c>
      <c r="C21" s="11">
        <f>'Personal Grading'!C21</f>
        <v>25</v>
      </c>
      <c r="D21" s="11">
        <f>'Personal Grading'!J21</f>
        <v>50</v>
      </c>
      <c r="E21" s="8">
        <f>'Personal Grading'!K21</f>
        <v>38</v>
      </c>
      <c r="F21" s="8" t="str">
        <f>'Personal Grading'!L21</f>
        <v>F</v>
      </c>
      <c r="G21" s="11" t="str">
        <f>'Personal Grading'!M21</f>
        <v>FAIL</v>
      </c>
    </row>
    <row r="22" spans="1:7" x14ac:dyDescent="0.3">
      <c r="A22" s="6">
        <v>18</v>
      </c>
      <c r="B22" s="14" t="str">
        <f>'Personal Grading'!A22</f>
        <v>Harun Işık</v>
      </c>
      <c r="C22" s="11">
        <f>'Personal Grading'!C22</f>
        <v>24</v>
      </c>
      <c r="D22" s="11">
        <f>'Personal Grading'!J22</f>
        <v>46</v>
      </c>
      <c r="E22" s="8">
        <f>'Personal Grading'!K22</f>
        <v>35</v>
      </c>
      <c r="F22" s="8" t="str">
        <f>'Personal Grading'!L22</f>
        <v>F</v>
      </c>
      <c r="G22" s="11" t="str">
        <f>'Personal Grading'!M22</f>
        <v>FAIL</v>
      </c>
    </row>
    <row r="25" spans="1:7" x14ac:dyDescent="0.3">
      <c r="A25" s="1" t="s">
        <v>135</v>
      </c>
    </row>
    <row r="26" spans="1:7" x14ac:dyDescent="0.3">
      <c r="A26" t="s">
        <v>136</v>
      </c>
      <c r="B26">
        <v>18</v>
      </c>
    </row>
    <row r="27" spans="1:7" x14ac:dyDescent="0.3">
      <c r="A27" t="s">
        <v>137</v>
      </c>
      <c r="B27">
        <f>COUNTIF(E5:E22,"&gt;=55")</f>
        <v>16</v>
      </c>
    </row>
    <row r="28" spans="1:7" x14ac:dyDescent="0.3">
      <c r="A28" t="s">
        <v>138</v>
      </c>
      <c r="B28">
        <f>COUNTIF(E5:E22,"&lt;55")</f>
        <v>2</v>
      </c>
    </row>
    <row r="29" spans="1:7" x14ac:dyDescent="0.3">
      <c r="A29" t="s">
        <v>139</v>
      </c>
      <c r="B29" t="str">
        <f>TEXT(B27/18,"0%")</f>
        <v>89%</v>
      </c>
    </row>
    <row r="31" spans="1:7" x14ac:dyDescent="0.3">
      <c r="A31" s="1" t="s">
        <v>140</v>
      </c>
    </row>
    <row r="32" spans="1:7" x14ac:dyDescent="0.3">
      <c r="A32" t="s">
        <v>141</v>
      </c>
      <c r="B32">
        <f>COUNTIF(F5:F22,"A")</f>
        <v>2</v>
      </c>
    </row>
    <row r="33" spans="1:2" x14ac:dyDescent="0.3">
      <c r="A33" t="s">
        <v>142</v>
      </c>
      <c r="B33">
        <f>COUNTIF(F5:F22,"B+")+COUNTIF(F5:F22,"B")+COUNTIF(F5:F22,"B-")</f>
        <v>9</v>
      </c>
    </row>
    <row r="34" spans="1:2" x14ac:dyDescent="0.3">
      <c r="A34" t="s">
        <v>143</v>
      </c>
      <c r="B34">
        <f>COUNTIF(F5:F22,"C+")+COUNTIF(F5:F22,"C")+COUNTIF(F5:F22,"C-")</f>
        <v>5</v>
      </c>
    </row>
    <row r="35" spans="1:2" x14ac:dyDescent="0.3">
      <c r="A35" t="s">
        <v>144</v>
      </c>
      <c r="B35">
        <f>COUNTIF(F5:F22,"F")</f>
        <v>2</v>
      </c>
    </row>
    <row r="37" spans="1:2" x14ac:dyDescent="0.3">
      <c r="A37" t="s">
        <v>145</v>
      </c>
      <c r="B37">
        <f>ROUND(AVERAGE(E5:E22),1)</f>
        <v>73.7</v>
      </c>
    </row>
    <row r="38" spans="1:2" x14ac:dyDescent="0.3">
      <c r="A38" t="s">
        <v>146</v>
      </c>
      <c r="B38">
        <f>MAX(E5:E22)</f>
        <v>100</v>
      </c>
    </row>
    <row r="39" spans="1:2" x14ac:dyDescent="0.3">
      <c r="A39" t="s">
        <v>147</v>
      </c>
      <c r="B39">
        <f>MIN(E5:E22)</f>
        <v>35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"/>
  <sheetViews>
    <sheetView workbookViewId="0">
      <selection sqref="A1:D1"/>
    </sheetView>
  </sheetViews>
  <sheetFormatPr defaultRowHeight="14.4" x14ac:dyDescent="0.3"/>
  <cols>
    <col min="1" max="1" width="28" customWidth="1"/>
    <col min="2" max="2" width="10" customWidth="1"/>
    <col min="3" max="3" width="55" customWidth="1"/>
    <col min="4" max="4" width="20" customWidth="1"/>
  </cols>
  <sheetData>
    <row r="1" spans="1:4" ht="18" x14ac:dyDescent="0.35">
      <c r="A1" s="20" t="s">
        <v>148</v>
      </c>
      <c r="B1" s="19"/>
      <c r="C1" s="19"/>
      <c r="D1" s="19"/>
    </row>
    <row r="3" spans="1:4" x14ac:dyDescent="0.3">
      <c r="A3" s="6" t="s">
        <v>149</v>
      </c>
      <c r="B3" s="6" t="s">
        <v>150</v>
      </c>
      <c r="C3" s="6" t="s">
        <v>151</v>
      </c>
      <c r="D3" s="6" t="s">
        <v>152</v>
      </c>
    </row>
    <row r="4" spans="1:4" x14ac:dyDescent="0.3">
      <c r="A4" s="6"/>
      <c r="B4" s="6"/>
      <c r="C4" s="6"/>
      <c r="D4" s="6"/>
    </row>
    <row r="5" spans="1:4" x14ac:dyDescent="0.3">
      <c r="A5" s="15" t="s">
        <v>153</v>
      </c>
      <c r="B5" s="15" t="s">
        <v>154</v>
      </c>
      <c r="C5" s="15"/>
      <c r="D5" s="15" t="s">
        <v>155</v>
      </c>
    </row>
    <row r="6" spans="1:4" x14ac:dyDescent="0.3">
      <c r="A6" s="6" t="s">
        <v>156</v>
      </c>
      <c r="B6" s="6" t="s">
        <v>157</v>
      </c>
      <c r="C6" s="6" t="s">
        <v>158</v>
      </c>
      <c r="D6" s="6" t="s">
        <v>159</v>
      </c>
    </row>
    <row r="7" spans="1:4" x14ac:dyDescent="0.3">
      <c r="A7" s="6" t="s">
        <v>160</v>
      </c>
      <c r="B7" s="6" t="s">
        <v>157</v>
      </c>
      <c r="C7" s="6" t="s">
        <v>161</v>
      </c>
      <c r="D7" s="6" t="s">
        <v>162</v>
      </c>
    </row>
    <row r="8" spans="1:4" x14ac:dyDescent="0.3">
      <c r="A8" s="6" t="s">
        <v>163</v>
      </c>
      <c r="B8" s="6" t="s">
        <v>157</v>
      </c>
      <c r="C8" s="6" t="s">
        <v>164</v>
      </c>
      <c r="D8" s="6" t="s">
        <v>165</v>
      </c>
    </row>
    <row r="9" spans="1:4" x14ac:dyDescent="0.3">
      <c r="A9" s="6"/>
      <c r="B9" s="6"/>
      <c r="C9" s="6"/>
      <c r="D9" s="6"/>
    </row>
    <row r="10" spans="1:4" x14ac:dyDescent="0.3">
      <c r="A10" s="16" t="s">
        <v>166</v>
      </c>
      <c r="B10" s="16" t="s">
        <v>167</v>
      </c>
      <c r="C10" s="16"/>
      <c r="D10" s="16" t="s">
        <v>168</v>
      </c>
    </row>
    <row r="11" spans="1:4" x14ac:dyDescent="0.3">
      <c r="A11" s="6" t="s">
        <v>169</v>
      </c>
      <c r="B11" s="6" t="s">
        <v>170</v>
      </c>
      <c r="C11" s="6" t="s">
        <v>171</v>
      </c>
      <c r="D11" s="6" t="s">
        <v>172</v>
      </c>
    </row>
    <row r="12" spans="1:4" x14ac:dyDescent="0.3">
      <c r="A12" s="6" t="s">
        <v>173</v>
      </c>
      <c r="B12" s="6" t="s">
        <v>174</v>
      </c>
      <c r="C12" s="6" t="s">
        <v>175</v>
      </c>
      <c r="D12" s="6" t="s">
        <v>176</v>
      </c>
    </row>
    <row r="13" spans="1:4" x14ac:dyDescent="0.3">
      <c r="A13" s="6" t="s">
        <v>177</v>
      </c>
      <c r="B13" s="6" t="s">
        <v>170</v>
      </c>
      <c r="C13" s="6" t="s">
        <v>178</v>
      </c>
      <c r="D13" s="6" t="s">
        <v>179</v>
      </c>
    </row>
    <row r="14" spans="1:4" x14ac:dyDescent="0.3">
      <c r="A14" s="6" t="s">
        <v>180</v>
      </c>
      <c r="B14" s="6" t="s">
        <v>174</v>
      </c>
      <c r="C14" s="6" t="s">
        <v>181</v>
      </c>
      <c r="D14" s="6" t="s">
        <v>182</v>
      </c>
    </row>
    <row r="15" spans="1:4" x14ac:dyDescent="0.3">
      <c r="A15" s="6"/>
      <c r="B15" s="6"/>
      <c r="C15" s="6"/>
      <c r="D15" s="6"/>
    </row>
    <row r="16" spans="1:4" x14ac:dyDescent="0.3">
      <c r="A16" s="17" t="s">
        <v>183</v>
      </c>
      <c r="B16" s="17" t="s">
        <v>184</v>
      </c>
      <c r="C16" s="17"/>
      <c r="D16" s="17" t="s">
        <v>185</v>
      </c>
    </row>
    <row r="17" spans="1:4" x14ac:dyDescent="0.3">
      <c r="A17" s="6" t="s">
        <v>186</v>
      </c>
      <c r="B17" s="6" t="s">
        <v>187</v>
      </c>
      <c r="C17" s="6" t="s">
        <v>188</v>
      </c>
      <c r="D17" s="6" t="s">
        <v>189</v>
      </c>
    </row>
    <row r="18" spans="1:4" x14ac:dyDescent="0.3">
      <c r="A18" s="6" t="s">
        <v>190</v>
      </c>
      <c r="B18" s="6" t="s">
        <v>191</v>
      </c>
      <c r="C18" s="6" t="s">
        <v>192</v>
      </c>
      <c r="D18" s="6" t="s">
        <v>193</v>
      </c>
    </row>
    <row r="19" spans="1:4" x14ac:dyDescent="0.3">
      <c r="A19" s="6" t="s">
        <v>194</v>
      </c>
      <c r="B19" s="6" t="s">
        <v>191</v>
      </c>
      <c r="C19" s="6" t="s">
        <v>195</v>
      </c>
      <c r="D19" s="6" t="s">
        <v>193</v>
      </c>
    </row>
    <row r="20" spans="1:4" x14ac:dyDescent="0.3">
      <c r="A20" s="6"/>
      <c r="B20" s="6"/>
      <c r="C20" s="6"/>
      <c r="D20" s="6"/>
    </row>
    <row r="21" spans="1:4" x14ac:dyDescent="0.3">
      <c r="A21" s="16" t="s">
        <v>196</v>
      </c>
      <c r="B21" s="16" t="s">
        <v>197</v>
      </c>
      <c r="C21" s="16" t="s">
        <v>198</v>
      </c>
      <c r="D21" s="16"/>
    </row>
    <row r="24" spans="1:4" x14ac:dyDescent="0.3">
      <c r="A24" s="1" t="s">
        <v>199</v>
      </c>
    </row>
    <row r="25" spans="1:4" x14ac:dyDescent="0.3">
      <c r="A25" s="6" t="s">
        <v>58</v>
      </c>
      <c r="B25" s="6" t="s">
        <v>200</v>
      </c>
      <c r="C25" s="6" t="s">
        <v>201</v>
      </c>
    </row>
    <row r="26" spans="1:4" x14ac:dyDescent="0.3">
      <c r="A26" s="6" t="s">
        <v>202</v>
      </c>
      <c r="B26" s="6" t="s">
        <v>203</v>
      </c>
      <c r="C26" s="6" t="s">
        <v>204</v>
      </c>
    </row>
    <row r="27" spans="1:4" x14ac:dyDescent="0.3">
      <c r="A27" s="6" t="s">
        <v>205</v>
      </c>
      <c r="B27" s="6" t="s">
        <v>206</v>
      </c>
      <c r="C27" s="6" t="s">
        <v>207</v>
      </c>
    </row>
    <row r="28" spans="1:4" x14ac:dyDescent="0.3">
      <c r="A28" s="6" t="s">
        <v>208</v>
      </c>
      <c r="B28" s="6" t="s">
        <v>209</v>
      </c>
      <c r="C28" s="6" t="s">
        <v>210</v>
      </c>
    </row>
    <row r="29" spans="1:4" x14ac:dyDescent="0.3">
      <c r="A29" s="6" t="s">
        <v>211</v>
      </c>
      <c r="B29" s="6" t="s">
        <v>212</v>
      </c>
      <c r="C29" s="6" t="s">
        <v>213</v>
      </c>
    </row>
    <row r="30" spans="1:4" x14ac:dyDescent="0.3">
      <c r="A30" s="6" t="s">
        <v>214</v>
      </c>
      <c r="B30" s="6" t="s">
        <v>215</v>
      </c>
      <c r="C30" s="6" t="s">
        <v>216</v>
      </c>
    </row>
    <row r="31" spans="1:4" x14ac:dyDescent="0.3">
      <c r="A31" s="6" t="s">
        <v>217</v>
      </c>
      <c r="B31" s="6" t="s">
        <v>218</v>
      </c>
      <c r="C31" s="6" t="s">
        <v>219</v>
      </c>
    </row>
    <row r="32" spans="1:4" x14ac:dyDescent="0.3">
      <c r="A32" s="6" t="s">
        <v>220</v>
      </c>
      <c r="B32" s="6" t="s">
        <v>221</v>
      </c>
      <c r="C32" s="6" t="s">
        <v>222</v>
      </c>
    </row>
    <row r="33" spans="1:3" x14ac:dyDescent="0.3">
      <c r="A33" s="6" t="s">
        <v>223</v>
      </c>
      <c r="B33" s="6" t="s">
        <v>224</v>
      </c>
      <c r="C33" s="6" t="s">
        <v>225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Team Grading</vt:lpstr>
      <vt:lpstr>Personal Grading</vt:lpstr>
      <vt:lpstr>Final Summary</vt:lpstr>
      <vt:lpstr>Rubric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ALTUNEL</cp:lastModifiedBy>
  <dcterms:created xsi:type="dcterms:W3CDTF">2026-01-03T16:38:08Z</dcterms:created>
  <dcterms:modified xsi:type="dcterms:W3CDTF">2026-01-03T17:43:05Z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6f6488-6f7b-4340-b880-828136ff7811_Enabled">
    <vt:lpwstr>true</vt:lpwstr>
  </property>
  <property fmtid="{D5CDD505-2E9C-101B-9397-08002B2CF9AE}" pid="3" name="MSIP_Label_c66f6488-6f7b-4340-b880-828136ff7811_SetDate">
    <vt:lpwstr>2026-01-03T16:39:42Z</vt:lpwstr>
  </property>
  <property fmtid="{D5CDD505-2E9C-101B-9397-08002B2CF9AE}" pid="4" name="MSIP_Label_c66f6488-6f7b-4340-b880-828136ff7811_Method">
    <vt:lpwstr>Privileged</vt:lpwstr>
  </property>
  <property fmtid="{D5CDD505-2E9C-101B-9397-08002B2CF9AE}" pid="5" name="MSIP_Label_c66f6488-6f7b-4340-b880-828136ff7811_Name">
    <vt:lpwstr>c66f6488-6f7b-4340-b880-828136ff7811</vt:lpwstr>
  </property>
  <property fmtid="{D5CDD505-2E9C-101B-9397-08002B2CF9AE}" pid="6" name="MSIP_Label_c66f6488-6f7b-4340-b880-828136ff7811_SiteId">
    <vt:lpwstr>832c1bc9-1e43-4f93-a086-708d36b0c95d</vt:lpwstr>
  </property>
  <property fmtid="{D5CDD505-2E9C-101B-9397-08002B2CF9AE}" pid="7" name="MSIP_Label_c66f6488-6f7b-4340-b880-828136ff7811_ActionId">
    <vt:lpwstr>add848a6-b01c-4824-b477-6d826e20ee5a</vt:lpwstr>
  </property>
  <property fmtid="{D5CDD505-2E9C-101B-9397-08002B2CF9AE}" pid="8" name="MSIP_Label_c66f6488-6f7b-4340-b880-828136ff7811_ContentBits">
    <vt:lpwstr>0</vt:lpwstr>
  </property>
</Properties>
</file>